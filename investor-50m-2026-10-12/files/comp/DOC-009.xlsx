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ОП\ПЛАНИРОВАНИЕ\БДР\"/>
    </mc:Choice>
  </mc:AlternateContent>
  <bookViews>
    <workbookView xWindow="-120" yWindow="-120" windowWidth="23250" windowHeight="13170"/>
  </bookViews>
  <sheets>
    <sheet name="Новый БДР" sheetId="1" r:id="rId1"/>
  </sheets>
  <calcPr calcId="152511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3" i="1" l="1"/>
  <c r="D35" i="1"/>
  <c r="C35" i="1"/>
  <c r="B35" i="1"/>
  <c r="G22" i="1"/>
  <c r="F22" i="1"/>
  <c r="F19" i="1"/>
  <c r="F14" i="1"/>
  <c r="D46" i="1" l="1"/>
  <c r="D45" i="1" l="1"/>
  <c r="E15" i="1" l="1"/>
  <c r="D24" i="1" l="1"/>
  <c r="E24" i="1"/>
  <c r="G23" i="1" l="1"/>
  <c r="F23" i="1"/>
  <c r="F17" i="1"/>
  <c r="G14" i="1"/>
  <c r="F20" i="1" l="1"/>
  <c r="B32" i="1" s="1"/>
  <c r="B31" i="1" s="1"/>
  <c r="D21" i="1" l="1"/>
  <c r="B30" i="1" l="1"/>
  <c r="G21" i="1"/>
  <c r="G20" i="1"/>
  <c r="D43" i="1" l="1"/>
  <c r="D42" i="1"/>
  <c r="D36" i="1" s="1"/>
  <c r="D50" i="1" l="1"/>
  <c r="C31" i="1"/>
  <c r="G25" i="1"/>
  <c r="F25" i="1"/>
  <c r="F18" i="1" s="1"/>
  <c r="G19" i="1"/>
  <c r="G17" i="1"/>
  <c r="G16" i="1"/>
  <c r="G13" i="1" s="1"/>
  <c r="F16" i="1"/>
  <c r="G18" i="1" l="1"/>
  <c r="G26" i="1" s="1"/>
  <c r="C30" i="1"/>
  <c r="D30" i="1" s="1"/>
  <c r="D31" i="1"/>
  <c r="D15" i="1"/>
  <c r="F13" i="1"/>
  <c r="F26" i="1"/>
</calcChain>
</file>

<file path=xl/sharedStrings.xml><?xml version="1.0" encoding="utf-8"?>
<sst xmlns="http://schemas.openxmlformats.org/spreadsheetml/2006/main" count="74" uniqueCount="64">
  <si>
    <t>Бюджет доходов и расходов</t>
  </si>
  <si>
    <t>Согласовано:</t>
  </si>
  <si>
    <t xml:space="preserve">               Исполнительный директор</t>
  </si>
  <si>
    <t xml:space="preserve">             ___________ Н.Н. Слащева</t>
  </si>
  <si>
    <t>Организация: Дорснаб, Восточные Берники</t>
  </si>
  <si>
    <t xml:space="preserve">             "___" _____________ 20___г.</t>
  </si>
  <si>
    <t>ЦФО: Коммерческая служба сбыта</t>
  </si>
  <si>
    <t>*При планировании доходов и расходов в БДР указывать все по моменту начисления (поступления документов, выставления актов выполненных работ (услуг)!!!</t>
  </si>
  <si>
    <t>ДОХОДЫ, руб.</t>
  </si>
  <si>
    <t>Кол-во, т</t>
  </si>
  <si>
    <t>Цена без НДС</t>
  </si>
  <si>
    <t>Выручка без НДС, тыс.руб.</t>
  </si>
  <si>
    <t>РФ</t>
  </si>
  <si>
    <t>Экспорт</t>
  </si>
  <si>
    <t>Реализация готовой продукции, в том числе:</t>
  </si>
  <si>
    <t>Известняковый щебень</t>
  </si>
  <si>
    <t>Крупка известняковая</t>
  </si>
  <si>
    <t>Глина</t>
  </si>
  <si>
    <t>Отсев и прочее</t>
  </si>
  <si>
    <t>Реализация услуг:</t>
  </si>
  <si>
    <t>автотранспортные услуги</t>
  </si>
  <si>
    <t>услуги железнодорожного транспорта</t>
  </si>
  <si>
    <t>Прочая реализация</t>
  </si>
  <si>
    <t>ИТОГО ДОХОДЫ от реализации</t>
  </si>
  <si>
    <t>РАСХОДЫ, руб.</t>
  </si>
  <si>
    <t>Сумма расходов без НДС, тыс.руб.</t>
  </si>
  <si>
    <t>Комментарии (указать направление расхода денежных средств при необходимости)</t>
  </si>
  <si>
    <t>Итого</t>
  </si>
  <si>
    <t>Основные коммерческие расходы, в т.ч.:</t>
  </si>
  <si>
    <t>Автоуслуги (доставка продукции), в т.ч.:</t>
  </si>
  <si>
    <t>самосвалы</t>
  </si>
  <si>
    <t>цементовозы</t>
  </si>
  <si>
    <t>фуры</t>
  </si>
  <si>
    <t>Услуги ж/д транспорта</t>
  </si>
  <si>
    <t>Управленческие расходы, в т.ч.:</t>
  </si>
  <si>
    <t>Хозяйственный инвентарь (стоимость до 40 тыс.руб.)</t>
  </si>
  <si>
    <t>Оргтехника и расходные материалы</t>
  </si>
  <si>
    <t>Канцтовары</t>
  </si>
  <si>
    <t>Расходы на рекламу</t>
  </si>
  <si>
    <t>Обучение персонала</t>
  </si>
  <si>
    <t>Командировочные расходы</t>
  </si>
  <si>
    <t>Информационные услуги, консультации</t>
  </si>
  <si>
    <t>Прочие маркетинговые расходы</t>
  </si>
  <si>
    <t>Приобретение основных средств, в т.ч.:</t>
  </si>
  <si>
    <t>Оборудование (стоимость свыше 40 тыс.руб.)</t>
  </si>
  <si>
    <t>Проектные работы</t>
  </si>
  <si>
    <t>Модернизация производства</t>
  </si>
  <si>
    <t>Прочие расходы за счет прибыли, в т.ч.:</t>
  </si>
  <si>
    <t>Представительские расходы</t>
  </si>
  <si>
    <t>Штрафы в связи с нарушением договорных обязательств и прочие</t>
  </si>
  <si>
    <t>ИТОГО РАСХОДЫ ПО ПОДРАЗДЕЛЕНИЮ:</t>
  </si>
  <si>
    <t>Исполнитель: __________________/__________________/</t>
  </si>
  <si>
    <t>Подготовлено: "____" ________________ 2021г.</t>
  </si>
  <si>
    <t>Руководитель подразделения: __________________/А.В. Исаев/</t>
  </si>
  <si>
    <t>Согласовано: "____" ___________ 2021г.</t>
  </si>
  <si>
    <t>Принято ФЭС: __________________/О.В. Слащева/</t>
  </si>
  <si>
    <t xml:space="preserve"> "____" ___________ 2021г.</t>
  </si>
  <si>
    <t>командировки</t>
  </si>
  <si>
    <t>ж.д., ВЭД статистика</t>
  </si>
  <si>
    <t xml:space="preserve">      Аренда помещений</t>
  </si>
  <si>
    <t xml:space="preserve">Аренда офиса, г. Тула ул. 9 мая </t>
  </si>
  <si>
    <t>на Сентябрь м-ц 2021 года</t>
  </si>
  <si>
    <t>Услуги вет.станции, Россельхознадзор.</t>
  </si>
  <si>
    <t>Проэктные  работы по проектированию жд пути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</si>
</sst>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0"/>
      <name val="Arial Cyr"/>
      <charset val="204"/>
    </font>
    <font>
      <sz val="11"/>
      <color theme="1"/>
      <name val="Arial Cyr"/>
      <charset val="204"/>
    </font>
    <font>
      <b/>
      <i/>
      <sz val="10"/>
      <color theme="1"/>
      <name val="Arial Cyr"/>
      <charset val="204"/>
    </font>
    <font>
      <sz val="10"/>
      <color theme="1"/>
      <name val="Arial Cyr"/>
      <charset val="204"/>
    </font>
    <font>
      <b/>
      <i/>
      <sz val="14"/>
      <color theme="1"/>
      <name val="Arial Cyr"/>
      <charset val="204"/>
    </font>
    <font>
      <i/>
      <sz val="12"/>
      <color theme="1"/>
      <name val="Arial Cyr"/>
      <charset val="204"/>
    </font>
    <font>
      <b/>
      <i/>
      <sz val="13"/>
      <color theme="1"/>
      <name val="Arial Cyr"/>
      <charset val="204"/>
    </font>
    <font>
      <b/>
      <sz val="13"/>
      <color theme="1"/>
      <name val="Arial Cyr"/>
      <charset val="204"/>
    </font>
    <font>
      <b/>
      <sz val="14"/>
      <color theme="1"/>
      <name val="Arial Cyr"/>
      <charset val="204"/>
    </font>
    <font>
      <b/>
      <sz val="10"/>
      <color theme="1"/>
      <name val="Arial Cyr"/>
      <charset val="204"/>
    </font>
    <font>
      <b/>
      <sz val="11"/>
      <color theme="1"/>
      <name val="Arial Cyr"/>
      <charset val="204"/>
    </font>
    <font>
      <i/>
      <sz val="11"/>
      <color theme="1"/>
      <name val="Arial Cyr"/>
      <charset val="204"/>
    </font>
    <font>
      <i/>
      <sz val="10"/>
      <color theme="1"/>
      <name val="Arial Cyr"/>
      <charset val="204"/>
    </font>
    <font>
      <b/>
      <i/>
      <sz val="11"/>
      <color theme="1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4" fontId="1" fillId="4" borderId="8" xfId="0" applyNumberFormat="1" applyFont="1" applyFill="1" applyBorder="1"/>
    <xf numFmtId="4" fontId="1" fillId="0" borderId="8" xfId="0" applyNumberFormat="1" applyFont="1" applyBorder="1"/>
    <xf numFmtId="0" fontId="1" fillId="0" borderId="8" xfId="0" applyFont="1" applyBorder="1" applyAlignment="1">
      <alignment horizontal="left" wrapText="1" indent="3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center" wrapText="1"/>
    </xf>
    <xf numFmtId="0" fontId="5" fillId="0" borderId="0" xfId="0" applyFont="1"/>
    <xf numFmtId="0" fontId="3" fillId="0" borderId="0" xfId="0" applyFont="1" applyAlignment="1">
      <alignment wrapText="1"/>
    </xf>
    <xf numFmtId="0" fontId="2" fillId="0" borderId="0" xfId="0" applyFont="1"/>
    <xf numFmtId="0" fontId="3" fillId="0" borderId="0" xfId="0" applyFont="1" applyAlignment="1">
      <alignment horizontal="justify" wrapText="1"/>
    </xf>
    <xf numFmtId="0" fontId="9" fillId="0" borderId="0" xfId="0" applyFont="1"/>
    <xf numFmtId="0" fontId="9" fillId="0" borderId="0" xfId="0" applyFont="1" applyAlignment="1">
      <alignment horizontal="center" vertical="center" wrapText="1"/>
    </xf>
    <xf numFmtId="0" fontId="10" fillId="3" borderId="8" xfId="0" applyFont="1" applyFill="1" applyBorder="1" applyAlignment="1">
      <alignment horizontal="center" vertical="center" wrapText="1"/>
    </xf>
    <xf numFmtId="0" fontId="11" fillId="0" borderId="8" xfId="0" applyFont="1" applyBorder="1"/>
    <xf numFmtId="4" fontId="11" fillId="0" borderId="8" xfId="0" applyNumberFormat="1" applyFont="1" applyBorder="1"/>
    <xf numFmtId="0" fontId="12" fillId="0" borderId="0" xfId="0" applyFont="1"/>
    <xf numFmtId="0" fontId="1" fillId="0" borderId="8" xfId="0" applyFont="1" applyBorder="1" applyAlignment="1">
      <alignment horizontal="left" indent="2"/>
    </xf>
    <xf numFmtId="0" fontId="10" fillId="0" borderId="8" xfId="0" applyFont="1" applyBorder="1" applyAlignment="1">
      <alignment horizontal="left" indent="2"/>
    </xf>
    <xf numFmtId="4" fontId="10" fillId="0" borderId="8" xfId="0" applyNumberFormat="1" applyFont="1" applyBorder="1"/>
    <xf numFmtId="0" fontId="11" fillId="0" borderId="8" xfId="0" applyFont="1" applyBorder="1" applyAlignment="1">
      <alignment horizontal="left"/>
    </xf>
    <xf numFmtId="0" fontId="10" fillId="3" borderId="8" xfId="0" applyFont="1" applyFill="1" applyBorder="1" applyAlignment="1">
      <alignment horizontal="left"/>
    </xf>
    <xf numFmtId="4" fontId="10" fillId="3" borderId="8" xfId="0" applyNumberFormat="1" applyFont="1" applyFill="1" applyBorder="1"/>
    <xf numFmtId="0" fontId="1" fillId="0" borderId="0" xfId="0" applyFont="1"/>
    <xf numFmtId="0" fontId="10" fillId="5" borderId="8" xfId="0" applyFont="1" applyFill="1" applyBorder="1" applyAlignment="1">
      <alignment horizontal="center" vertical="center"/>
    </xf>
    <xf numFmtId="0" fontId="13" fillId="0" borderId="8" xfId="0" applyFont="1" applyBorder="1" applyAlignment="1">
      <alignment vertical="center"/>
    </xf>
    <xf numFmtId="4" fontId="13" fillId="0" borderId="8" xfId="0" applyNumberFormat="1" applyFont="1" applyBorder="1" applyAlignment="1">
      <alignment vertical="center"/>
    </xf>
    <xf numFmtId="0" fontId="1" fillId="0" borderId="8" xfId="0" applyFont="1" applyBorder="1" applyAlignment="1">
      <alignment horizontal="left" wrapText="1" indent="1"/>
    </xf>
    <xf numFmtId="4" fontId="10" fillId="0" borderId="8" xfId="0" applyNumberFormat="1" applyFont="1" applyBorder="1" applyAlignment="1">
      <alignment vertical="center"/>
    </xf>
    <xf numFmtId="4" fontId="13" fillId="5" borderId="8" xfId="0" applyNumberFormat="1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8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5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2" fontId="2" fillId="0" borderId="0" xfId="0" applyNumberFormat="1" applyFont="1" applyAlignment="1">
      <alignment wrapText="1"/>
    </xf>
    <xf numFmtId="0" fontId="10" fillId="3" borderId="4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0" fillId="5" borderId="8" xfId="0" applyFont="1" applyFill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 wrapText="1"/>
    </xf>
    <xf numFmtId="0" fontId="10" fillId="5" borderId="8" xfId="0" applyFont="1" applyFill="1" applyBorder="1" applyAlignment="1">
      <alignment horizontal="center" vertical="center"/>
    </xf>
    <xf numFmtId="0" fontId="9" fillId="5" borderId="8" xfId="0" applyFont="1" applyFill="1" applyBorder="1" applyAlignment="1">
      <alignment horizontal="center" vertical="center"/>
    </xf>
    <xf numFmtId="0" fontId="9" fillId="5" borderId="8" xfId="0" applyFont="1" applyFill="1" applyBorder="1" applyAlignment="1">
      <alignment horizontal="center" vertical="center" wrapText="1"/>
    </xf>
    <xf numFmtId="0" fontId="13" fillId="0" borderId="8" xfId="0" applyFont="1" applyBorder="1" applyAlignment="1">
      <alignment vertical="center"/>
    </xf>
    <xf numFmtId="0" fontId="9" fillId="0" borderId="8" xfId="0" applyFont="1" applyBorder="1" applyAlignment="1">
      <alignment vertical="center"/>
    </xf>
    <xf numFmtId="0" fontId="1" fillId="0" borderId="8" xfId="0" applyFont="1" applyBorder="1" applyAlignment="1">
      <alignment horizontal="left" wrapText="1" indent="2"/>
    </xf>
    <xf numFmtId="0" fontId="3" fillId="0" borderId="8" xfId="0" applyFont="1" applyBorder="1" applyAlignment="1">
      <alignment horizontal="left" indent="2"/>
    </xf>
    <xf numFmtId="0" fontId="1" fillId="0" borderId="5" xfId="0" applyFont="1" applyBorder="1" applyAlignment="1">
      <alignment horizontal="left" wrapText="1"/>
    </xf>
    <xf numFmtId="0" fontId="1" fillId="0" borderId="9" xfId="0" applyFont="1" applyBorder="1" applyAlignment="1">
      <alignment horizontal="left" wrapText="1"/>
    </xf>
    <xf numFmtId="0" fontId="1" fillId="0" borderId="6" xfId="0" applyFont="1" applyBorder="1" applyAlignment="1">
      <alignment horizontal="left" wrapText="1"/>
    </xf>
    <xf numFmtId="0" fontId="2" fillId="0" borderId="5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13" fillId="5" borderId="8" xfId="0" applyFont="1" applyFill="1" applyBorder="1" applyAlignment="1">
      <alignment vertical="center"/>
    </xf>
    <xf numFmtId="0" fontId="2" fillId="5" borderId="8" xfId="0" applyFont="1" applyFill="1" applyBorder="1" applyAlignment="1">
      <alignment vertical="center"/>
    </xf>
    <xf numFmtId="0" fontId="2" fillId="5" borderId="5" xfId="0" applyFont="1" applyFill="1" applyBorder="1" applyAlignment="1">
      <alignment vertical="center" wrapText="1"/>
    </xf>
    <xf numFmtId="0" fontId="2" fillId="5" borderId="9" xfId="0" applyFont="1" applyFill="1" applyBorder="1" applyAlignment="1">
      <alignment vertical="center" wrapText="1"/>
    </xf>
    <xf numFmtId="0" fontId="2" fillId="5" borderId="6" xfId="0" applyFont="1" applyFill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5"/>
  <sheetViews>
    <sheetView tabSelected="1" zoomScale="90" zoomScaleNormal="90" workbookViewId="0">
      <selection activeCell="L51" sqref="L51"/>
    </sheetView>
  </sheetViews>
  <sheetFormatPr defaultRowHeight="12.75" x14ac:dyDescent="0.2"/>
  <cols>
    <col min="1" max="1" width="47.7109375" style="4" customWidth="1"/>
    <col min="2" max="2" width="15.140625" style="4" customWidth="1"/>
    <col min="3" max="3" width="14.7109375" style="4" customWidth="1"/>
    <col min="4" max="4" width="16.85546875" style="4" customWidth="1"/>
    <col min="5" max="5" width="12.5703125" style="4" customWidth="1"/>
    <col min="6" max="7" width="15.7109375" style="4" customWidth="1"/>
    <col min="8" max="256" width="8.85546875" style="4"/>
    <col min="257" max="257" width="47.7109375" style="4" customWidth="1"/>
    <col min="258" max="258" width="13.85546875" style="4" customWidth="1"/>
    <col min="259" max="259" width="13.140625" style="4" customWidth="1"/>
    <col min="260" max="260" width="13.28515625" style="4" customWidth="1"/>
    <col min="261" max="261" width="9.7109375" style="4" customWidth="1"/>
    <col min="262" max="263" width="13.7109375" style="4" customWidth="1"/>
    <col min="264" max="512" width="8.85546875" style="4"/>
    <col min="513" max="513" width="47.7109375" style="4" customWidth="1"/>
    <col min="514" max="514" width="13.85546875" style="4" customWidth="1"/>
    <col min="515" max="515" width="13.140625" style="4" customWidth="1"/>
    <col min="516" max="516" width="13.28515625" style="4" customWidth="1"/>
    <col min="517" max="517" width="9.7109375" style="4" customWidth="1"/>
    <col min="518" max="519" width="13.7109375" style="4" customWidth="1"/>
    <col min="520" max="768" width="8.85546875" style="4"/>
    <col min="769" max="769" width="47.7109375" style="4" customWidth="1"/>
    <col min="770" max="770" width="13.85546875" style="4" customWidth="1"/>
    <col min="771" max="771" width="13.140625" style="4" customWidth="1"/>
    <col min="772" max="772" width="13.28515625" style="4" customWidth="1"/>
    <col min="773" max="773" width="9.7109375" style="4" customWidth="1"/>
    <col min="774" max="775" width="13.7109375" style="4" customWidth="1"/>
    <col min="776" max="1024" width="8.85546875" style="4"/>
    <col min="1025" max="1025" width="47.7109375" style="4" customWidth="1"/>
    <col min="1026" max="1026" width="13.85546875" style="4" customWidth="1"/>
    <col min="1027" max="1027" width="13.140625" style="4" customWidth="1"/>
    <col min="1028" max="1028" width="13.28515625" style="4" customWidth="1"/>
    <col min="1029" max="1029" width="9.7109375" style="4" customWidth="1"/>
    <col min="1030" max="1031" width="13.7109375" style="4" customWidth="1"/>
    <col min="1032" max="1280" width="8.85546875" style="4"/>
    <col min="1281" max="1281" width="47.7109375" style="4" customWidth="1"/>
    <col min="1282" max="1282" width="13.85546875" style="4" customWidth="1"/>
    <col min="1283" max="1283" width="13.140625" style="4" customWidth="1"/>
    <col min="1284" max="1284" width="13.28515625" style="4" customWidth="1"/>
    <col min="1285" max="1285" width="9.7109375" style="4" customWidth="1"/>
    <col min="1286" max="1287" width="13.7109375" style="4" customWidth="1"/>
    <col min="1288" max="1536" width="8.85546875" style="4"/>
    <col min="1537" max="1537" width="47.7109375" style="4" customWidth="1"/>
    <col min="1538" max="1538" width="13.85546875" style="4" customWidth="1"/>
    <col min="1539" max="1539" width="13.140625" style="4" customWidth="1"/>
    <col min="1540" max="1540" width="13.28515625" style="4" customWidth="1"/>
    <col min="1541" max="1541" width="9.7109375" style="4" customWidth="1"/>
    <col min="1542" max="1543" width="13.7109375" style="4" customWidth="1"/>
    <col min="1544" max="1792" width="8.85546875" style="4"/>
    <col min="1793" max="1793" width="47.7109375" style="4" customWidth="1"/>
    <col min="1794" max="1794" width="13.85546875" style="4" customWidth="1"/>
    <col min="1795" max="1795" width="13.140625" style="4" customWidth="1"/>
    <col min="1796" max="1796" width="13.28515625" style="4" customWidth="1"/>
    <col min="1797" max="1797" width="9.7109375" style="4" customWidth="1"/>
    <col min="1798" max="1799" width="13.7109375" style="4" customWidth="1"/>
    <col min="1800" max="2048" width="8.85546875" style="4"/>
    <col min="2049" max="2049" width="47.7109375" style="4" customWidth="1"/>
    <col min="2050" max="2050" width="13.85546875" style="4" customWidth="1"/>
    <col min="2051" max="2051" width="13.140625" style="4" customWidth="1"/>
    <col min="2052" max="2052" width="13.28515625" style="4" customWidth="1"/>
    <col min="2053" max="2053" width="9.7109375" style="4" customWidth="1"/>
    <col min="2054" max="2055" width="13.7109375" style="4" customWidth="1"/>
    <col min="2056" max="2304" width="8.85546875" style="4"/>
    <col min="2305" max="2305" width="47.7109375" style="4" customWidth="1"/>
    <col min="2306" max="2306" width="13.85546875" style="4" customWidth="1"/>
    <col min="2307" max="2307" width="13.140625" style="4" customWidth="1"/>
    <col min="2308" max="2308" width="13.28515625" style="4" customWidth="1"/>
    <col min="2309" max="2309" width="9.7109375" style="4" customWidth="1"/>
    <col min="2310" max="2311" width="13.7109375" style="4" customWidth="1"/>
    <col min="2312" max="2560" width="8.85546875" style="4"/>
    <col min="2561" max="2561" width="47.7109375" style="4" customWidth="1"/>
    <col min="2562" max="2562" width="13.85546875" style="4" customWidth="1"/>
    <col min="2563" max="2563" width="13.140625" style="4" customWidth="1"/>
    <col min="2564" max="2564" width="13.28515625" style="4" customWidth="1"/>
    <col min="2565" max="2565" width="9.7109375" style="4" customWidth="1"/>
    <col min="2566" max="2567" width="13.7109375" style="4" customWidth="1"/>
    <col min="2568" max="2816" width="8.85546875" style="4"/>
    <col min="2817" max="2817" width="47.7109375" style="4" customWidth="1"/>
    <col min="2818" max="2818" width="13.85546875" style="4" customWidth="1"/>
    <col min="2819" max="2819" width="13.140625" style="4" customWidth="1"/>
    <col min="2820" max="2820" width="13.28515625" style="4" customWidth="1"/>
    <col min="2821" max="2821" width="9.7109375" style="4" customWidth="1"/>
    <col min="2822" max="2823" width="13.7109375" style="4" customWidth="1"/>
    <col min="2824" max="3072" width="8.85546875" style="4"/>
    <col min="3073" max="3073" width="47.7109375" style="4" customWidth="1"/>
    <col min="3074" max="3074" width="13.85546875" style="4" customWidth="1"/>
    <col min="3075" max="3075" width="13.140625" style="4" customWidth="1"/>
    <col min="3076" max="3076" width="13.28515625" style="4" customWidth="1"/>
    <col min="3077" max="3077" width="9.7109375" style="4" customWidth="1"/>
    <col min="3078" max="3079" width="13.7109375" style="4" customWidth="1"/>
    <col min="3080" max="3328" width="8.85546875" style="4"/>
    <col min="3329" max="3329" width="47.7109375" style="4" customWidth="1"/>
    <col min="3330" max="3330" width="13.85546875" style="4" customWidth="1"/>
    <col min="3331" max="3331" width="13.140625" style="4" customWidth="1"/>
    <col min="3332" max="3332" width="13.28515625" style="4" customWidth="1"/>
    <col min="3333" max="3333" width="9.7109375" style="4" customWidth="1"/>
    <col min="3334" max="3335" width="13.7109375" style="4" customWidth="1"/>
    <col min="3336" max="3584" width="8.85546875" style="4"/>
    <col min="3585" max="3585" width="47.7109375" style="4" customWidth="1"/>
    <col min="3586" max="3586" width="13.85546875" style="4" customWidth="1"/>
    <col min="3587" max="3587" width="13.140625" style="4" customWidth="1"/>
    <col min="3588" max="3588" width="13.28515625" style="4" customWidth="1"/>
    <col min="3589" max="3589" width="9.7109375" style="4" customWidth="1"/>
    <col min="3590" max="3591" width="13.7109375" style="4" customWidth="1"/>
    <col min="3592" max="3840" width="8.85546875" style="4"/>
    <col min="3841" max="3841" width="47.7109375" style="4" customWidth="1"/>
    <col min="3842" max="3842" width="13.85546875" style="4" customWidth="1"/>
    <col min="3843" max="3843" width="13.140625" style="4" customWidth="1"/>
    <col min="3844" max="3844" width="13.28515625" style="4" customWidth="1"/>
    <col min="3845" max="3845" width="9.7109375" style="4" customWidth="1"/>
    <col min="3846" max="3847" width="13.7109375" style="4" customWidth="1"/>
    <col min="3848" max="4096" width="8.85546875" style="4"/>
    <col min="4097" max="4097" width="47.7109375" style="4" customWidth="1"/>
    <col min="4098" max="4098" width="13.85546875" style="4" customWidth="1"/>
    <col min="4099" max="4099" width="13.140625" style="4" customWidth="1"/>
    <col min="4100" max="4100" width="13.28515625" style="4" customWidth="1"/>
    <col min="4101" max="4101" width="9.7109375" style="4" customWidth="1"/>
    <col min="4102" max="4103" width="13.7109375" style="4" customWidth="1"/>
    <col min="4104" max="4352" width="8.85546875" style="4"/>
    <col min="4353" max="4353" width="47.7109375" style="4" customWidth="1"/>
    <col min="4354" max="4354" width="13.85546875" style="4" customWidth="1"/>
    <col min="4355" max="4355" width="13.140625" style="4" customWidth="1"/>
    <col min="4356" max="4356" width="13.28515625" style="4" customWidth="1"/>
    <col min="4357" max="4357" width="9.7109375" style="4" customWidth="1"/>
    <col min="4358" max="4359" width="13.7109375" style="4" customWidth="1"/>
    <col min="4360" max="4608" width="8.85546875" style="4"/>
    <col min="4609" max="4609" width="47.7109375" style="4" customWidth="1"/>
    <col min="4610" max="4610" width="13.85546875" style="4" customWidth="1"/>
    <col min="4611" max="4611" width="13.140625" style="4" customWidth="1"/>
    <col min="4612" max="4612" width="13.28515625" style="4" customWidth="1"/>
    <col min="4613" max="4613" width="9.7109375" style="4" customWidth="1"/>
    <col min="4614" max="4615" width="13.7109375" style="4" customWidth="1"/>
    <col min="4616" max="4864" width="8.85546875" style="4"/>
    <col min="4865" max="4865" width="47.7109375" style="4" customWidth="1"/>
    <col min="4866" max="4866" width="13.85546875" style="4" customWidth="1"/>
    <col min="4867" max="4867" width="13.140625" style="4" customWidth="1"/>
    <col min="4868" max="4868" width="13.28515625" style="4" customWidth="1"/>
    <col min="4869" max="4869" width="9.7109375" style="4" customWidth="1"/>
    <col min="4870" max="4871" width="13.7109375" style="4" customWidth="1"/>
    <col min="4872" max="5120" width="8.85546875" style="4"/>
    <col min="5121" max="5121" width="47.7109375" style="4" customWidth="1"/>
    <col min="5122" max="5122" width="13.85546875" style="4" customWidth="1"/>
    <col min="5123" max="5123" width="13.140625" style="4" customWidth="1"/>
    <col min="5124" max="5124" width="13.28515625" style="4" customWidth="1"/>
    <col min="5125" max="5125" width="9.7109375" style="4" customWidth="1"/>
    <col min="5126" max="5127" width="13.7109375" style="4" customWidth="1"/>
    <col min="5128" max="5376" width="8.85546875" style="4"/>
    <col min="5377" max="5377" width="47.7109375" style="4" customWidth="1"/>
    <col min="5378" max="5378" width="13.85546875" style="4" customWidth="1"/>
    <col min="5379" max="5379" width="13.140625" style="4" customWidth="1"/>
    <col min="5380" max="5380" width="13.28515625" style="4" customWidth="1"/>
    <col min="5381" max="5381" width="9.7109375" style="4" customWidth="1"/>
    <col min="5382" max="5383" width="13.7109375" style="4" customWidth="1"/>
    <col min="5384" max="5632" width="8.85546875" style="4"/>
    <col min="5633" max="5633" width="47.7109375" style="4" customWidth="1"/>
    <col min="5634" max="5634" width="13.85546875" style="4" customWidth="1"/>
    <col min="5635" max="5635" width="13.140625" style="4" customWidth="1"/>
    <col min="5636" max="5636" width="13.28515625" style="4" customWidth="1"/>
    <col min="5637" max="5637" width="9.7109375" style="4" customWidth="1"/>
    <col min="5638" max="5639" width="13.7109375" style="4" customWidth="1"/>
    <col min="5640" max="5888" width="8.85546875" style="4"/>
    <col min="5889" max="5889" width="47.7109375" style="4" customWidth="1"/>
    <col min="5890" max="5890" width="13.85546875" style="4" customWidth="1"/>
    <col min="5891" max="5891" width="13.140625" style="4" customWidth="1"/>
    <col min="5892" max="5892" width="13.28515625" style="4" customWidth="1"/>
    <col min="5893" max="5893" width="9.7109375" style="4" customWidth="1"/>
    <col min="5894" max="5895" width="13.7109375" style="4" customWidth="1"/>
    <col min="5896" max="6144" width="8.85546875" style="4"/>
    <col min="6145" max="6145" width="47.7109375" style="4" customWidth="1"/>
    <col min="6146" max="6146" width="13.85546875" style="4" customWidth="1"/>
    <col min="6147" max="6147" width="13.140625" style="4" customWidth="1"/>
    <col min="6148" max="6148" width="13.28515625" style="4" customWidth="1"/>
    <col min="6149" max="6149" width="9.7109375" style="4" customWidth="1"/>
    <col min="6150" max="6151" width="13.7109375" style="4" customWidth="1"/>
    <col min="6152" max="6400" width="8.85546875" style="4"/>
    <col min="6401" max="6401" width="47.7109375" style="4" customWidth="1"/>
    <col min="6402" max="6402" width="13.85546875" style="4" customWidth="1"/>
    <col min="6403" max="6403" width="13.140625" style="4" customWidth="1"/>
    <col min="6404" max="6404" width="13.28515625" style="4" customWidth="1"/>
    <col min="6405" max="6405" width="9.7109375" style="4" customWidth="1"/>
    <col min="6406" max="6407" width="13.7109375" style="4" customWidth="1"/>
    <col min="6408" max="6656" width="8.85546875" style="4"/>
    <col min="6657" max="6657" width="47.7109375" style="4" customWidth="1"/>
    <col min="6658" max="6658" width="13.85546875" style="4" customWidth="1"/>
    <col min="6659" max="6659" width="13.140625" style="4" customWidth="1"/>
    <col min="6660" max="6660" width="13.28515625" style="4" customWidth="1"/>
    <col min="6661" max="6661" width="9.7109375" style="4" customWidth="1"/>
    <col min="6662" max="6663" width="13.7109375" style="4" customWidth="1"/>
    <col min="6664" max="6912" width="8.85546875" style="4"/>
    <col min="6913" max="6913" width="47.7109375" style="4" customWidth="1"/>
    <col min="6914" max="6914" width="13.85546875" style="4" customWidth="1"/>
    <col min="6915" max="6915" width="13.140625" style="4" customWidth="1"/>
    <col min="6916" max="6916" width="13.28515625" style="4" customWidth="1"/>
    <col min="6917" max="6917" width="9.7109375" style="4" customWidth="1"/>
    <col min="6918" max="6919" width="13.7109375" style="4" customWidth="1"/>
    <col min="6920" max="7168" width="8.85546875" style="4"/>
    <col min="7169" max="7169" width="47.7109375" style="4" customWidth="1"/>
    <col min="7170" max="7170" width="13.85546875" style="4" customWidth="1"/>
    <col min="7171" max="7171" width="13.140625" style="4" customWidth="1"/>
    <col min="7172" max="7172" width="13.28515625" style="4" customWidth="1"/>
    <col min="7173" max="7173" width="9.7109375" style="4" customWidth="1"/>
    <col min="7174" max="7175" width="13.7109375" style="4" customWidth="1"/>
    <col min="7176" max="7424" width="8.85546875" style="4"/>
    <col min="7425" max="7425" width="47.7109375" style="4" customWidth="1"/>
    <col min="7426" max="7426" width="13.85546875" style="4" customWidth="1"/>
    <col min="7427" max="7427" width="13.140625" style="4" customWidth="1"/>
    <col min="7428" max="7428" width="13.28515625" style="4" customWidth="1"/>
    <col min="7429" max="7429" width="9.7109375" style="4" customWidth="1"/>
    <col min="7430" max="7431" width="13.7109375" style="4" customWidth="1"/>
    <col min="7432" max="7680" width="8.85546875" style="4"/>
    <col min="7681" max="7681" width="47.7109375" style="4" customWidth="1"/>
    <col min="7682" max="7682" width="13.85546875" style="4" customWidth="1"/>
    <col min="7683" max="7683" width="13.140625" style="4" customWidth="1"/>
    <col min="7684" max="7684" width="13.28515625" style="4" customWidth="1"/>
    <col min="7685" max="7685" width="9.7109375" style="4" customWidth="1"/>
    <col min="7686" max="7687" width="13.7109375" style="4" customWidth="1"/>
    <col min="7688" max="7936" width="8.85546875" style="4"/>
    <col min="7937" max="7937" width="47.7109375" style="4" customWidth="1"/>
    <col min="7938" max="7938" width="13.85546875" style="4" customWidth="1"/>
    <col min="7939" max="7939" width="13.140625" style="4" customWidth="1"/>
    <col min="7940" max="7940" width="13.28515625" style="4" customWidth="1"/>
    <col min="7941" max="7941" width="9.7109375" style="4" customWidth="1"/>
    <col min="7942" max="7943" width="13.7109375" style="4" customWidth="1"/>
    <col min="7944" max="8192" width="8.85546875" style="4"/>
    <col min="8193" max="8193" width="47.7109375" style="4" customWidth="1"/>
    <col min="8194" max="8194" width="13.85546875" style="4" customWidth="1"/>
    <col min="8195" max="8195" width="13.140625" style="4" customWidth="1"/>
    <col min="8196" max="8196" width="13.28515625" style="4" customWidth="1"/>
    <col min="8197" max="8197" width="9.7109375" style="4" customWidth="1"/>
    <col min="8198" max="8199" width="13.7109375" style="4" customWidth="1"/>
    <col min="8200" max="8448" width="8.85546875" style="4"/>
    <col min="8449" max="8449" width="47.7109375" style="4" customWidth="1"/>
    <col min="8450" max="8450" width="13.85546875" style="4" customWidth="1"/>
    <col min="8451" max="8451" width="13.140625" style="4" customWidth="1"/>
    <col min="8452" max="8452" width="13.28515625" style="4" customWidth="1"/>
    <col min="8453" max="8453" width="9.7109375" style="4" customWidth="1"/>
    <col min="8454" max="8455" width="13.7109375" style="4" customWidth="1"/>
    <col min="8456" max="8704" width="8.85546875" style="4"/>
    <col min="8705" max="8705" width="47.7109375" style="4" customWidth="1"/>
    <col min="8706" max="8706" width="13.85546875" style="4" customWidth="1"/>
    <col min="8707" max="8707" width="13.140625" style="4" customWidth="1"/>
    <col min="8708" max="8708" width="13.28515625" style="4" customWidth="1"/>
    <col min="8709" max="8709" width="9.7109375" style="4" customWidth="1"/>
    <col min="8710" max="8711" width="13.7109375" style="4" customWidth="1"/>
    <col min="8712" max="8960" width="8.85546875" style="4"/>
    <col min="8961" max="8961" width="47.7109375" style="4" customWidth="1"/>
    <col min="8962" max="8962" width="13.85546875" style="4" customWidth="1"/>
    <col min="8963" max="8963" width="13.140625" style="4" customWidth="1"/>
    <col min="8964" max="8964" width="13.28515625" style="4" customWidth="1"/>
    <col min="8965" max="8965" width="9.7109375" style="4" customWidth="1"/>
    <col min="8966" max="8967" width="13.7109375" style="4" customWidth="1"/>
    <col min="8968" max="9216" width="8.85546875" style="4"/>
    <col min="9217" max="9217" width="47.7109375" style="4" customWidth="1"/>
    <col min="9218" max="9218" width="13.85546875" style="4" customWidth="1"/>
    <col min="9219" max="9219" width="13.140625" style="4" customWidth="1"/>
    <col min="9220" max="9220" width="13.28515625" style="4" customWidth="1"/>
    <col min="9221" max="9221" width="9.7109375" style="4" customWidth="1"/>
    <col min="9222" max="9223" width="13.7109375" style="4" customWidth="1"/>
    <col min="9224" max="9472" width="8.85546875" style="4"/>
    <col min="9473" max="9473" width="47.7109375" style="4" customWidth="1"/>
    <col min="9474" max="9474" width="13.85546875" style="4" customWidth="1"/>
    <col min="9475" max="9475" width="13.140625" style="4" customWidth="1"/>
    <col min="9476" max="9476" width="13.28515625" style="4" customWidth="1"/>
    <col min="9477" max="9477" width="9.7109375" style="4" customWidth="1"/>
    <col min="9478" max="9479" width="13.7109375" style="4" customWidth="1"/>
    <col min="9480" max="9728" width="8.85546875" style="4"/>
    <col min="9729" max="9729" width="47.7109375" style="4" customWidth="1"/>
    <col min="9730" max="9730" width="13.85546875" style="4" customWidth="1"/>
    <col min="9731" max="9731" width="13.140625" style="4" customWidth="1"/>
    <col min="9732" max="9732" width="13.28515625" style="4" customWidth="1"/>
    <col min="9733" max="9733" width="9.7109375" style="4" customWidth="1"/>
    <col min="9734" max="9735" width="13.7109375" style="4" customWidth="1"/>
    <col min="9736" max="9984" width="8.85546875" style="4"/>
    <col min="9985" max="9985" width="47.7109375" style="4" customWidth="1"/>
    <col min="9986" max="9986" width="13.85546875" style="4" customWidth="1"/>
    <col min="9987" max="9987" width="13.140625" style="4" customWidth="1"/>
    <col min="9988" max="9988" width="13.28515625" style="4" customWidth="1"/>
    <col min="9989" max="9989" width="9.7109375" style="4" customWidth="1"/>
    <col min="9990" max="9991" width="13.7109375" style="4" customWidth="1"/>
    <col min="9992" max="10240" width="8.85546875" style="4"/>
    <col min="10241" max="10241" width="47.7109375" style="4" customWidth="1"/>
    <col min="10242" max="10242" width="13.85546875" style="4" customWidth="1"/>
    <col min="10243" max="10243" width="13.140625" style="4" customWidth="1"/>
    <col min="10244" max="10244" width="13.28515625" style="4" customWidth="1"/>
    <col min="10245" max="10245" width="9.7109375" style="4" customWidth="1"/>
    <col min="10246" max="10247" width="13.7109375" style="4" customWidth="1"/>
    <col min="10248" max="10496" width="8.85546875" style="4"/>
    <col min="10497" max="10497" width="47.7109375" style="4" customWidth="1"/>
    <col min="10498" max="10498" width="13.85546875" style="4" customWidth="1"/>
    <col min="10499" max="10499" width="13.140625" style="4" customWidth="1"/>
    <col min="10500" max="10500" width="13.28515625" style="4" customWidth="1"/>
    <col min="10501" max="10501" width="9.7109375" style="4" customWidth="1"/>
    <col min="10502" max="10503" width="13.7109375" style="4" customWidth="1"/>
    <col min="10504" max="10752" width="8.85546875" style="4"/>
    <col min="10753" max="10753" width="47.7109375" style="4" customWidth="1"/>
    <col min="10754" max="10754" width="13.85546875" style="4" customWidth="1"/>
    <col min="10755" max="10755" width="13.140625" style="4" customWidth="1"/>
    <col min="10756" max="10756" width="13.28515625" style="4" customWidth="1"/>
    <col min="10757" max="10757" width="9.7109375" style="4" customWidth="1"/>
    <col min="10758" max="10759" width="13.7109375" style="4" customWidth="1"/>
    <col min="10760" max="11008" width="8.85546875" style="4"/>
    <col min="11009" max="11009" width="47.7109375" style="4" customWidth="1"/>
    <col min="11010" max="11010" width="13.85546875" style="4" customWidth="1"/>
    <col min="11011" max="11011" width="13.140625" style="4" customWidth="1"/>
    <col min="11012" max="11012" width="13.28515625" style="4" customWidth="1"/>
    <col min="11013" max="11013" width="9.7109375" style="4" customWidth="1"/>
    <col min="11014" max="11015" width="13.7109375" style="4" customWidth="1"/>
    <col min="11016" max="11264" width="8.85546875" style="4"/>
    <col min="11265" max="11265" width="47.7109375" style="4" customWidth="1"/>
    <col min="11266" max="11266" width="13.85546875" style="4" customWidth="1"/>
    <col min="11267" max="11267" width="13.140625" style="4" customWidth="1"/>
    <col min="11268" max="11268" width="13.28515625" style="4" customWidth="1"/>
    <col min="11269" max="11269" width="9.7109375" style="4" customWidth="1"/>
    <col min="11270" max="11271" width="13.7109375" style="4" customWidth="1"/>
    <col min="11272" max="11520" width="8.85546875" style="4"/>
    <col min="11521" max="11521" width="47.7109375" style="4" customWidth="1"/>
    <col min="11522" max="11522" width="13.85546875" style="4" customWidth="1"/>
    <col min="11523" max="11523" width="13.140625" style="4" customWidth="1"/>
    <col min="11524" max="11524" width="13.28515625" style="4" customWidth="1"/>
    <col min="11525" max="11525" width="9.7109375" style="4" customWidth="1"/>
    <col min="11526" max="11527" width="13.7109375" style="4" customWidth="1"/>
    <col min="11528" max="11776" width="8.85546875" style="4"/>
    <col min="11777" max="11777" width="47.7109375" style="4" customWidth="1"/>
    <col min="11778" max="11778" width="13.85546875" style="4" customWidth="1"/>
    <col min="11779" max="11779" width="13.140625" style="4" customWidth="1"/>
    <col min="11780" max="11780" width="13.28515625" style="4" customWidth="1"/>
    <col min="11781" max="11781" width="9.7109375" style="4" customWidth="1"/>
    <col min="11782" max="11783" width="13.7109375" style="4" customWidth="1"/>
    <col min="11784" max="12032" width="8.85546875" style="4"/>
    <col min="12033" max="12033" width="47.7109375" style="4" customWidth="1"/>
    <col min="12034" max="12034" width="13.85546875" style="4" customWidth="1"/>
    <col min="12035" max="12035" width="13.140625" style="4" customWidth="1"/>
    <col min="12036" max="12036" width="13.28515625" style="4" customWidth="1"/>
    <col min="12037" max="12037" width="9.7109375" style="4" customWidth="1"/>
    <col min="12038" max="12039" width="13.7109375" style="4" customWidth="1"/>
    <col min="12040" max="12288" width="8.85546875" style="4"/>
    <col min="12289" max="12289" width="47.7109375" style="4" customWidth="1"/>
    <col min="12290" max="12290" width="13.85546875" style="4" customWidth="1"/>
    <col min="12291" max="12291" width="13.140625" style="4" customWidth="1"/>
    <col min="12292" max="12292" width="13.28515625" style="4" customWidth="1"/>
    <col min="12293" max="12293" width="9.7109375" style="4" customWidth="1"/>
    <col min="12294" max="12295" width="13.7109375" style="4" customWidth="1"/>
    <col min="12296" max="12544" width="8.85546875" style="4"/>
    <col min="12545" max="12545" width="47.7109375" style="4" customWidth="1"/>
    <col min="12546" max="12546" width="13.85546875" style="4" customWidth="1"/>
    <col min="12547" max="12547" width="13.140625" style="4" customWidth="1"/>
    <col min="12548" max="12548" width="13.28515625" style="4" customWidth="1"/>
    <col min="12549" max="12549" width="9.7109375" style="4" customWidth="1"/>
    <col min="12550" max="12551" width="13.7109375" style="4" customWidth="1"/>
    <col min="12552" max="12800" width="8.85546875" style="4"/>
    <col min="12801" max="12801" width="47.7109375" style="4" customWidth="1"/>
    <col min="12802" max="12802" width="13.85546875" style="4" customWidth="1"/>
    <col min="12803" max="12803" width="13.140625" style="4" customWidth="1"/>
    <col min="12804" max="12804" width="13.28515625" style="4" customWidth="1"/>
    <col min="12805" max="12805" width="9.7109375" style="4" customWidth="1"/>
    <col min="12806" max="12807" width="13.7109375" style="4" customWidth="1"/>
    <col min="12808" max="13056" width="8.85546875" style="4"/>
    <col min="13057" max="13057" width="47.7109375" style="4" customWidth="1"/>
    <col min="13058" max="13058" width="13.85546875" style="4" customWidth="1"/>
    <col min="13059" max="13059" width="13.140625" style="4" customWidth="1"/>
    <col min="13060" max="13060" width="13.28515625" style="4" customWidth="1"/>
    <col min="13061" max="13061" width="9.7109375" style="4" customWidth="1"/>
    <col min="13062" max="13063" width="13.7109375" style="4" customWidth="1"/>
    <col min="13064" max="13312" width="8.85546875" style="4"/>
    <col min="13313" max="13313" width="47.7109375" style="4" customWidth="1"/>
    <col min="13314" max="13314" width="13.85546875" style="4" customWidth="1"/>
    <col min="13315" max="13315" width="13.140625" style="4" customWidth="1"/>
    <col min="13316" max="13316" width="13.28515625" style="4" customWidth="1"/>
    <col min="13317" max="13317" width="9.7109375" style="4" customWidth="1"/>
    <col min="13318" max="13319" width="13.7109375" style="4" customWidth="1"/>
    <col min="13320" max="13568" width="8.85546875" style="4"/>
    <col min="13569" max="13569" width="47.7109375" style="4" customWidth="1"/>
    <col min="13570" max="13570" width="13.85546875" style="4" customWidth="1"/>
    <col min="13571" max="13571" width="13.140625" style="4" customWidth="1"/>
    <col min="13572" max="13572" width="13.28515625" style="4" customWidth="1"/>
    <col min="13573" max="13573" width="9.7109375" style="4" customWidth="1"/>
    <col min="13574" max="13575" width="13.7109375" style="4" customWidth="1"/>
    <col min="13576" max="13824" width="8.85546875" style="4"/>
    <col min="13825" max="13825" width="47.7109375" style="4" customWidth="1"/>
    <col min="13826" max="13826" width="13.85546875" style="4" customWidth="1"/>
    <col min="13827" max="13827" width="13.140625" style="4" customWidth="1"/>
    <col min="13828" max="13828" width="13.28515625" style="4" customWidth="1"/>
    <col min="13829" max="13829" width="9.7109375" style="4" customWidth="1"/>
    <col min="13830" max="13831" width="13.7109375" style="4" customWidth="1"/>
    <col min="13832" max="14080" width="8.85546875" style="4"/>
    <col min="14081" max="14081" width="47.7109375" style="4" customWidth="1"/>
    <col min="14082" max="14082" width="13.85546875" style="4" customWidth="1"/>
    <col min="14083" max="14083" width="13.140625" style="4" customWidth="1"/>
    <col min="14084" max="14084" width="13.28515625" style="4" customWidth="1"/>
    <col min="14085" max="14085" width="9.7109375" style="4" customWidth="1"/>
    <col min="14086" max="14087" width="13.7109375" style="4" customWidth="1"/>
    <col min="14088" max="14336" width="8.85546875" style="4"/>
    <col min="14337" max="14337" width="47.7109375" style="4" customWidth="1"/>
    <col min="14338" max="14338" width="13.85546875" style="4" customWidth="1"/>
    <col min="14339" max="14339" width="13.140625" style="4" customWidth="1"/>
    <col min="14340" max="14340" width="13.28515625" style="4" customWidth="1"/>
    <col min="14341" max="14341" width="9.7109375" style="4" customWidth="1"/>
    <col min="14342" max="14343" width="13.7109375" style="4" customWidth="1"/>
    <col min="14344" max="14592" width="8.85546875" style="4"/>
    <col min="14593" max="14593" width="47.7109375" style="4" customWidth="1"/>
    <col min="14594" max="14594" width="13.85546875" style="4" customWidth="1"/>
    <col min="14595" max="14595" width="13.140625" style="4" customWidth="1"/>
    <col min="14596" max="14596" width="13.28515625" style="4" customWidth="1"/>
    <col min="14597" max="14597" width="9.7109375" style="4" customWidth="1"/>
    <col min="14598" max="14599" width="13.7109375" style="4" customWidth="1"/>
    <col min="14600" max="14848" width="8.85546875" style="4"/>
    <col min="14849" max="14849" width="47.7109375" style="4" customWidth="1"/>
    <col min="14850" max="14850" width="13.85546875" style="4" customWidth="1"/>
    <col min="14851" max="14851" width="13.140625" style="4" customWidth="1"/>
    <col min="14852" max="14852" width="13.28515625" style="4" customWidth="1"/>
    <col min="14853" max="14853" width="9.7109375" style="4" customWidth="1"/>
    <col min="14854" max="14855" width="13.7109375" style="4" customWidth="1"/>
    <col min="14856" max="15104" width="8.85546875" style="4"/>
    <col min="15105" max="15105" width="47.7109375" style="4" customWidth="1"/>
    <col min="15106" max="15106" width="13.85546875" style="4" customWidth="1"/>
    <col min="15107" max="15107" width="13.140625" style="4" customWidth="1"/>
    <col min="15108" max="15108" width="13.28515625" style="4" customWidth="1"/>
    <col min="15109" max="15109" width="9.7109375" style="4" customWidth="1"/>
    <col min="15110" max="15111" width="13.7109375" style="4" customWidth="1"/>
    <col min="15112" max="15360" width="8.85546875" style="4"/>
    <col min="15361" max="15361" width="47.7109375" style="4" customWidth="1"/>
    <col min="15362" max="15362" width="13.85546875" style="4" customWidth="1"/>
    <col min="15363" max="15363" width="13.140625" style="4" customWidth="1"/>
    <col min="15364" max="15364" width="13.28515625" style="4" customWidth="1"/>
    <col min="15365" max="15365" width="9.7109375" style="4" customWidth="1"/>
    <col min="15366" max="15367" width="13.7109375" style="4" customWidth="1"/>
    <col min="15368" max="15616" width="8.85546875" style="4"/>
    <col min="15617" max="15617" width="47.7109375" style="4" customWidth="1"/>
    <col min="15618" max="15618" width="13.85546875" style="4" customWidth="1"/>
    <col min="15619" max="15619" width="13.140625" style="4" customWidth="1"/>
    <col min="15620" max="15620" width="13.28515625" style="4" customWidth="1"/>
    <col min="15621" max="15621" width="9.7109375" style="4" customWidth="1"/>
    <col min="15622" max="15623" width="13.7109375" style="4" customWidth="1"/>
    <col min="15624" max="15872" width="8.85546875" style="4"/>
    <col min="15873" max="15873" width="47.7109375" style="4" customWidth="1"/>
    <col min="15874" max="15874" width="13.85546875" style="4" customWidth="1"/>
    <col min="15875" max="15875" width="13.140625" style="4" customWidth="1"/>
    <col min="15876" max="15876" width="13.28515625" style="4" customWidth="1"/>
    <col min="15877" max="15877" width="9.7109375" style="4" customWidth="1"/>
    <col min="15878" max="15879" width="13.7109375" style="4" customWidth="1"/>
    <col min="15880" max="16128" width="8.85546875" style="4"/>
    <col min="16129" max="16129" width="47.7109375" style="4" customWidth="1"/>
    <col min="16130" max="16130" width="13.85546875" style="4" customWidth="1"/>
    <col min="16131" max="16131" width="13.140625" style="4" customWidth="1"/>
    <col min="16132" max="16132" width="13.28515625" style="4" customWidth="1"/>
    <col min="16133" max="16133" width="9.7109375" style="4" customWidth="1"/>
    <col min="16134" max="16135" width="13.7109375" style="4" customWidth="1"/>
    <col min="16136" max="16384" width="8.85546875" style="4"/>
  </cols>
  <sheetData>
    <row r="1" spans="1:7" ht="18.75" x14ac:dyDescent="0.3">
      <c r="A1" s="5" t="s">
        <v>0</v>
      </c>
      <c r="D1" s="6"/>
      <c r="E1" s="34" t="s">
        <v>1</v>
      </c>
      <c r="F1" s="35"/>
      <c r="G1" s="35"/>
    </row>
    <row r="2" spans="1:7" ht="15" x14ac:dyDescent="0.2">
      <c r="A2" s="7" t="s">
        <v>61</v>
      </c>
      <c r="D2" s="8"/>
      <c r="E2" s="36" t="s">
        <v>2</v>
      </c>
      <c r="F2" s="36"/>
      <c r="G2" s="36"/>
    </row>
    <row r="3" spans="1:7" ht="14.25" x14ac:dyDescent="0.2">
      <c r="D3" s="8"/>
      <c r="E3" s="36" t="s">
        <v>3</v>
      </c>
      <c r="F3" s="36"/>
      <c r="G3" s="36"/>
    </row>
    <row r="4" spans="1:7" ht="14.25" x14ac:dyDescent="0.2">
      <c r="D4" s="8"/>
      <c r="E4" s="36"/>
      <c r="F4" s="36"/>
      <c r="G4" s="36"/>
    </row>
    <row r="5" spans="1:7" ht="14.25" x14ac:dyDescent="0.2">
      <c r="A5" s="9" t="s">
        <v>4</v>
      </c>
      <c r="D5" s="10"/>
      <c r="E5" s="36" t="s">
        <v>5</v>
      </c>
      <c r="F5" s="36"/>
      <c r="G5" s="36"/>
    </row>
    <row r="6" spans="1:7" ht="13.5" thickBot="1" x14ac:dyDescent="0.25">
      <c r="D6" s="8"/>
    </row>
    <row r="7" spans="1:7" ht="23.25" customHeight="1" thickBot="1" x14ac:dyDescent="0.25">
      <c r="A7" s="31" t="s">
        <v>6</v>
      </c>
      <c r="B7" s="32"/>
      <c r="C7" s="32"/>
      <c r="D7" s="32"/>
      <c r="E7" s="32"/>
      <c r="F7" s="32"/>
      <c r="G7" s="33"/>
    </row>
    <row r="8" spans="1:7" ht="9" customHeight="1" x14ac:dyDescent="0.2">
      <c r="A8" s="11"/>
      <c r="D8" s="8"/>
    </row>
    <row r="9" spans="1:7" ht="27.75" customHeight="1" x14ac:dyDescent="0.2">
      <c r="A9" s="40" t="s">
        <v>7</v>
      </c>
      <c r="B9" s="40"/>
      <c r="C9" s="40"/>
      <c r="D9" s="40"/>
      <c r="E9" s="40"/>
      <c r="F9" s="40"/>
      <c r="G9" s="40"/>
    </row>
    <row r="10" spans="1:7" ht="8.25" customHeight="1" x14ac:dyDescent="0.2"/>
    <row r="11" spans="1:7" s="12" customFormat="1" ht="29.25" customHeight="1" x14ac:dyDescent="0.2">
      <c r="A11" s="41" t="s">
        <v>8</v>
      </c>
      <c r="B11" s="43" t="s">
        <v>9</v>
      </c>
      <c r="C11" s="44"/>
      <c r="D11" s="43" t="s">
        <v>10</v>
      </c>
      <c r="E11" s="45"/>
      <c r="F11" s="43" t="s">
        <v>11</v>
      </c>
      <c r="G11" s="46"/>
    </row>
    <row r="12" spans="1:7" s="12" customFormat="1" ht="15" x14ac:dyDescent="0.2">
      <c r="A12" s="42"/>
      <c r="B12" s="13" t="s">
        <v>12</v>
      </c>
      <c r="C12" s="13" t="s">
        <v>13</v>
      </c>
      <c r="D12" s="13" t="s">
        <v>12</v>
      </c>
      <c r="E12" s="13" t="s">
        <v>13</v>
      </c>
      <c r="F12" s="13" t="s">
        <v>12</v>
      </c>
      <c r="G12" s="13" t="s">
        <v>13</v>
      </c>
    </row>
    <row r="13" spans="1:7" s="16" customFormat="1" ht="15.75" customHeight="1" x14ac:dyDescent="0.2">
      <c r="A13" s="14" t="s">
        <v>14</v>
      </c>
      <c r="B13" s="14"/>
      <c r="C13" s="14"/>
      <c r="D13" s="14"/>
      <c r="E13" s="14"/>
      <c r="F13" s="15">
        <f>SUM(F14:F17)</f>
        <v>104596849.8</v>
      </c>
      <c r="G13" s="15">
        <f>SUM(G14:G17)</f>
        <v>38447890</v>
      </c>
    </row>
    <row r="14" spans="1:7" ht="15.75" customHeight="1" x14ac:dyDescent="0.2">
      <c r="A14" s="17" t="s">
        <v>15</v>
      </c>
      <c r="B14" s="1">
        <v>167310</v>
      </c>
      <c r="C14" s="1">
        <v>80000</v>
      </c>
      <c r="D14" s="1">
        <v>464.08</v>
      </c>
      <c r="E14" s="1">
        <v>447.4</v>
      </c>
      <c r="F14" s="2">
        <f>B14*D14</f>
        <v>77645224.799999997</v>
      </c>
      <c r="G14" s="2">
        <f>C14*E14</f>
        <v>35792000</v>
      </c>
    </row>
    <row r="15" spans="1:7" ht="15.75" customHeight="1" x14ac:dyDescent="0.2">
      <c r="A15" s="17" t="s">
        <v>16</v>
      </c>
      <c r="B15" s="1">
        <v>22020</v>
      </c>
      <c r="C15" s="1">
        <v>1480</v>
      </c>
      <c r="D15" s="1">
        <f>F15/B15</f>
        <v>1178.5479109900091</v>
      </c>
      <c r="E15" s="1">
        <f>G15/C15</f>
        <v>1794.5202702702702</v>
      </c>
      <c r="F15" s="2">
        <v>25951625</v>
      </c>
      <c r="G15" s="2">
        <v>2655890</v>
      </c>
    </row>
    <row r="16" spans="1:7" ht="15.75" customHeight="1" x14ac:dyDescent="0.2">
      <c r="A16" s="17" t="s">
        <v>17</v>
      </c>
      <c r="B16" s="1">
        <v>0</v>
      </c>
      <c r="C16" s="1">
        <v>0</v>
      </c>
      <c r="D16" s="1">
        <v>0</v>
      </c>
      <c r="E16" s="1">
        <v>0</v>
      </c>
      <c r="F16" s="2">
        <f t="shared" ref="F16:G17" si="0">B16*D16</f>
        <v>0</v>
      </c>
      <c r="G16" s="2">
        <f t="shared" si="0"/>
        <v>0</v>
      </c>
    </row>
    <row r="17" spans="1:7" ht="15.75" customHeight="1" x14ac:dyDescent="0.2">
      <c r="A17" s="17" t="s">
        <v>18</v>
      </c>
      <c r="B17" s="1">
        <v>10000</v>
      </c>
      <c r="C17" s="1"/>
      <c r="D17" s="1">
        <v>100</v>
      </c>
      <c r="E17" s="1"/>
      <c r="F17" s="2">
        <f>B17*D17</f>
        <v>1000000</v>
      </c>
      <c r="G17" s="2">
        <f t="shared" si="0"/>
        <v>0</v>
      </c>
    </row>
    <row r="18" spans="1:7" s="16" customFormat="1" ht="15.75" customHeight="1" x14ac:dyDescent="0.2">
      <c r="A18" s="14" t="s">
        <v>19</v>
      </c>
      <c r="B18" s="15"/>
      <c r="C18" s="15"/>
      <c r="D18" s="15"/>
      <c r="E18" s="15"/>
      <c r="F18" s="15">
        <f>F19+F22+F25</f>
        <v>49852393.439999998</v>
      </c>
      <c r="G18" s="15">
        <f>G19+G22+G25</f>
        <v>86676039.999999985</v>
      </c>
    </row>
    <row r="19" spans="1:7" ht="15.75" customHeight="1" x14ac:dyDescent="0.25">
      <c r="A19" s="18" t="s">
        <v>20</v>
      </c>
      <c r="B19" s="1"/>
      <c r="C19" s="1"/>
      <c r="D19" s="1"/>
      <c r="E19" s="1"/>
      <c r="F19" s="19">
        <f>B32+B33+B34</f>
        <v>6499778.3399999999</v>
      </c>
      <c r="G19" s="19">
        <f t="shared" ref="F19:G25" si="1">C19*E19</f>
        <v>0</v>
      </c>
    </row>
    <row r="20" spans="1:7" ht="15.75" customHeight="1" x14ac:dyDescent="0.2">
      <c r="A20" s="17" t="s">
        <v>15</v>
      </c>
      <c r="B20" s="1">
        <v>11000</v>
      </c>
      <c r="C20" s="1"/>
      <c r="D20" s="1">
        <v>272.82</v>
      </c>
      <c r="E20" s="1"/>
      <c r="F20" s="2">
        <f>B20*D20</f>
        <v>3001020</v>
      </c>
      <c r="G20" s="2">
        <f>C20*E20</f>
        <v>0</v>
      </c>
    </row>
    <row r="21" spans="1:7" ht="15.75" customHeight="1" x14ac:dyDescent="0.2">
      <c r="A21" s="17" t="s">
        <v>16</v>
      </c>
      <c r="B21" s="1">
        <v>5060</v>
      </c>
      <c r="C21" s="1"/>
      <c r="D21" s="1">
        <f>F21/B21</f>
        <v>691.4542154150198</v>
      </c>
      <c r="E21" s="1"/>
      <c r="F21" s="2">
        <v>3498758.33</v>
      </c>
      <c r="G21" s="2">
        <f t="shared" ref="G21" si="2">C21*E21</f>
        <v>0</v>
      </c>
    </row>
    <row r="22" spans="1:7" ht="15.75" customHeight="1" x14ac:dyDescent="0.25">
      <c r="A22" s="18" t="s">
        <v>21</v>
      </c>
      <c r="B22" s="1"/>
      <c r="C22" s="1"/>
      <c r="D22" s="1"/>
      <c r="E22" s="1"/>
      <c r="F22" s="19">
        <f>SUM(F23:F24)</f>
        <v>43352615.100000001</v>
      </c>
      <c r="G22" s="19">
        <f>SUM(G23:G24)</f>
        <v>86676039.999999985</v>
      </c>
    </row>
    <row r="23" spans="1:7" ht="15.75" customHeight="1" x14ac:dyDescent="0.2">
      <c r="A23" s="17" t="s">
        <v>15</v>
      </c>
      <c r="B23" s="1">
        <v>34310</v>
      </c>
      <c r="C23" s="1">
        <v>80000</v>
      </c>
      <c r="D23" s="1">
        <v>880.71</v>
      </c>
      <c r="E23" s="1">
        <v>1062.8599999999999</v>
      </c>
      <c r="F23" s="2">
        <f>B23*D23</f>
        <v>30217160.100000001</v>
      </c>
      <c r="G23" s="2">
        <f>C23*E23</f>
        <v>85028799.999999985</v>
      </c>
    </row>
    <row r="24" spans="1:7" ht="15.75" customHeight="1" x14ac:dyDescent="0.2">
      <c r="A24" s="17" t="s">
        <v>16</v>
      </c>
      <c r="B24" s="1">
        <v>12320</v>
      </c>
      <c r="C24" s="1">
        <v>1480</v>
      </c>
      <c r="D24" s="1">
        <f>F24/B24</f>
        <v>1066.1895292207791</v>
      </c>
      <c r="E24" s="1">
        <f>G24/C24</f>
        <v>1113</v>
      </c>
      <c r="F24" s="2">
        <v>13135455</v>
      </c>
      <c r="G24" s="2">
        <v>1647240</v>
      </c>
    </row>
    <row r="25" spans="1:7" ht="15.75" customHeight="1" x14ac:dyDescent="0.2">
      <c r="A25" s="20" t="s">
        <v>22</v>
      </c>
      <c r="B25" s="1"/>
      <c r="C25" s="1"/>
      <c r="D25" s="1"/>
      <c r="E25" s="1"/>
      <c r="F25" s="2">
        <f t="shared" si="1"/>
        <v>0</v>
      </c>
      <c r="G25" s="2">
        <f t="shared" si="1"/>
        <v>0</v>
      </c>
    </row>
    <row r="26" spans="1:7" s="11" customFormat="1" ht="17.25" customHeight="1" x14ac:dyDescent="0.25">
      <c r="A26" s="21" t="s">
        <v>23</v>
      </c>
      <c r="B26" s="22"/>
      <c r="C26" s="22"/>
      <c r="D26" s="22"/>
      <c r="E26" s="22"/>
      <c r="F26" s="22">
        <f>F13+F18</f>
        <v>154449243.24000001</v>
      </c>
      <c r="G26" s="22">
        <f>G13+G18</f>
        <v>125123929.99999999</v>
      </c>
    </row>
    <row r="27" spans="1:7" ht="6.75" customHeight="1" x14ac:dyDescent="0.2">
      <c r="A27" s="23"/>
      <c r="B27" s="23"/>
      <c r="C27" s="23"/>
      <c r="D27" s="23"/>
      <c r="E27" s="23"/>
      <c r="F27" s="23"/>
      <c r="G27" s="23"/>
    </row>
    <row r="28" spans="1:7" ht="24.75" customHeight="1" x14ac:dyDescent="0.2">
      <c r="A28" s="47" t="s">
        <v>24</v>
      </c>
      <c r="B28" s="49" t="s">
        <v>25</v>
      </c>
      <c r="C28" s="50"/>
      <c r="D28" s="50"/>
      <c r="E28" s="51" t="s">
        <v>26</v>
      </c>
      <c r="F28" s="51"/>
      <c r="G28" s="51"/>
    </row>
    <row r="29" spans="1:7" ht="23.25" customHeight="1" x14ac:dyDescent="0.2">
      <c r="A29" s="48"/>
      <c r="B29" s="24" t="s">
        <v>12</v>
      </c>
      <c r="C29" s="24" t="s">
        <v>13</v>
      </c>
      <c r="D29" s="24" t="s">
        <v>27</v>
      </c>
      <c r="E29" s="51"/>
      <c r="F29" s="51"/>
      <c r="G29" s="51"/>
    </row>
    <row r="30" spans="1:7" s="9" customFormat="1" ht="20.25" customHeight="1" x14ac:dyDescent="0.2">
      <c r="A30" s="25" t="s">
        <v>28</v>
      </c>
      <c r="B30" s="26">
        <f>B31+B35</f>
        <v>49852393.439999998</v>
      </c>
      <c r="C30" s="26">
        <f>C31+C35</f>
        <v>86676039.999999985</v>
      </c>
      <c r="D30" s="26">
        <f>B30+C30</f>
        <v>136528433.44</v>
      </c>
      <c r="E30" s="37"/>
      <c r="F30" s="38"/>
      <c r="G30" s="39"/>
    </row>
    <row r="31" spans="1:7" ht="20.25" customHeight="1" x14ac:dyDescent="0.2">
      <c r="A31" s="27" t="s">
        <v>29</v>
      </c>
      <c r="B31" s="2">
        <f>SUM(B32:B34)</f>
        <v>6499778.3399999999</v>
      </c>
      <c r="C31" s="2">
        <f>SUM(C32:C34)</f>
        <v>0</v>
      </c>
      <c r="D31" s="2">
        <f>B31+C31</f>
        <v>6499778.3399999999</v>
      </c>
      <c r="E31" s="37"/>
      <c r="F31" s="38"/>
      <c r="G31" s="39"/>
    </row>
    <row r="32" spans="1:7" ht="20.25" customHeight="1" x14ac:dyDescent="0.2">
      <c r="A32" s="3" t="s">
        <v>30</v>
      </c>
      <c r="B32" s="1">
        <f>F20</f>
        <v>3001020</v>
      </c>
      <c r="C32" s="1"/>
      <c r="D32" s="1"/>
      <c r="E32" s="37"/>
      <c r="F32" s="38"/>
      <c r="G32" s="39"/>
    </row>
    <row r="33" spans="1:7" ht="23.45" customHeight="1" x14ac:dyDescent="0.2">
      <c r="A33" s="3" t="s">
        <v>31</v>
      </c>
      <c r="B33" s="1">
        <v>2163291.67</v>
      </c>
      <c r="C33" s="1"/>
      <c r="D33" s="1"/>
      <c r="E33" s="37"/>
      <c r="F33" s="38"/>
      <c r="G33" s="39"/>
    </row>
    <row r="34" spans="1:7" ht="20.25" customHeight="1" x14ac:dyDescent="0.2">
      <c r="A34" s="3" t="s">
        <v>32</v>
      </c>
      <c r="B34" s="1">
        <v>1335466.67</v>
      </c>
      <c r="C34" s="1"/>
      <c r="D34" s="1"/>
      <c r="E34" s="37"/>
      <c r="F34" s="38"/>
      <c r="G34" s="39"/>
    </row>
    <row r="35" spans="1:7" ht="20.25" customHeight="1" x14ac:dyDescent="0.2">
      <c r="A35" s="27" t="s">
        <v>33</v>
      </c>
      <c r="B35" s="1">
        <f>F22</f>
        <v>43352615.100000001</v>
      </c>
      <c r="C35" s="1">
        <f>G22</f>
        <v>86676039.999999985</v>
      </c>
      <c r="D35" s="2">
        <f>B35+C35</f>
        <v>130028655.09999999</v>
      </c>
      <c r="E35" s="37"/>
      <c r="F35" s="38"/>
      <c r="G35" s="39"/>
    </row>
    <row r="36" spans="1:7" s="11" customFormat="1" ht="20.25" customHeight="1" x14ac:dyDescent="0.2">
      <c r="A36" s="52" t="s">
        <v>34</v>
      </c>
      <c r="B36" s="53"/>
      <c r="C36" s="53"/>
      <c r="D36" s="28">
        <f>SUM(D37:D45)</f>
        <v>260583.34000000003</v>
      </c>
      <c r="E36" s="37"/>
      <c r="F36" s="38"/>
      <c r="G36" s="39"/>
    </row>
    <row r="37" spans="1:7" ht="20.25" customHeight="1" x14ac:dyDescent="0.2">
      <c r="A37" s="54" t="s">
        <v>35</v>
      </c>
      <c r="B37" s="55"/>
      <c r="C37" s="55"/>
      <c r="D37" s="1"/>
      <c r="E37" s="37"/>
      <c r="F37" s="38"/>
      <c r="G37" s="39"/>
    </row>
    <row r="38" spans="1:7" ht="20.25" customHeight="1" x14ac:dyDescent="0.2">
      <c r="A38" s="54" t="s">
        <v>36</v>
      </c>
      <c r="B38" s="55"/>
      <c r="C38" s="55"/>
      <c r="D38" s="1"/>
      <c r="E38" s="37"/>
      <c r="F38" s="38"/>
      <c r="G38" s="39"/>
    </row>
    <row r="39" spans="1:7" ht="20.25" customHeight="1" x14ac:dyDescent="0.2">
      <c r="A39" s="54" t="s">
        <v>37</v>
      </c>
      <c r="B39" s="55"/>
      <c r="C39" s="55"/>
      <c r="D39" s="1"/>
      <c r="E39" s="37"/>
      <c r="F39" s="38"/>
      <c r="G39" s="39"/>
    </row>
    <row r="40" spans="1:7" ht="20.25" customHeight="1" x14ac:dyDescent="0.2">
      <c r="A40" s="54" t="s">
        <v>38</v>
      </c>
      <c r="B40" s="55"/>
      <c r="C40" s="55"/>
      <c r="D40" s="1"/>
      <c r="E40" s="37"/>
      <c r="F40" s="38"/>
      <c r="G40" s="39"/>
    </row>
    <row r="41" spans="1:7" ht="20.25" customHeight="1" x14ac:dyDescent="0.2">
      <c r="A41" s="54" t="s">
        <v>39</v>
      </c>
      <c r="B41" s="55"/>
      <c r="C41" s="55"/>
      <c r="D41" s="1"/>
      <c r="E41" s="37"/>
      <c r="F41" s="38"/>
      <c r="G41" s="39"/>
    </row>
    <row r="42" spans="1:7" ht="20.25" customHeight="1" x14ac:dyDescent="0.2">
      <c r="A42" s="54" t="s">
        <v>40</v>
      </c>
      <c r="B42" s="55"/>
      <c r="C42" s="55"/>
      <c r="D42" s="1">
        <f>50000/1.2</f>
        <v>41666.666666666672</v>
      </c>
      <c r="E42" s="37" t="s">
        <v>57</v>
      </c>
      <c r="F42" s="38"/>
      <c r="G42" s="39"/>
    </row>
    <row r="43" spans="1:7" ht="20.25" customHeight="1" x14ac:dyDescent="0.2">
      <c r="A43" s="54" t="s">
        <v>41</v>
      </c>
      <c r="B43" s="55"/>
      <c r="C43" s="55"/>
      <c r="D43" s="1">
        <f>13000/1.2</f>
        <v>10833.333333333334</v>
      </c>
      <c r="E43" s="37" t="s">
        <v>58</v>
      </c>
      <c r="F43" s="38"/>
      <c r="G43" s="39"/>
    </row>
    <row r="44" spans="1:7" ht="20.25" customHeight="1" x14ac:dyDescent="0.2">
      <c r="A44" s="56" t="s">
        <v>59</v>
      </c>
      <c r="B44" s="57"/>
      <c r="C44" s="58"/>
      <c r="D44" s="1">
        <v>25583.34</v>
      </c>
      <c r="E44" s="59" t="s">
        <v>60</v>
      </c>
      <c r="F44" s="60"/>
      <c r="G44" s="61"/>
    </row>
    <row r="45" spans="1:7" ht="27" customHeight="1" x14ac:dyDescent="0.2">
      <c r="A45" s="54" t="s">
        <v>42</v>
      </c>
      <c r="B45" s="55"/>
      <c r="C45" s="55"/>
      <c r="D45" s="1">
        <f>219000/1.2</f>
        <v>182500</v>
      </c>
      <c r="E45" s="37" t="s">
        <v>62</v>
      </c>
      <c r="F45" s="38"/>
      <c r="G45" s="39"/>
    </row>
    <row r="46" spans="1:7" ht="20.25" customHeight="1" x14ac:dyDescent="0.2">
      <c r="A46" s="52" t="s">
        <v>43</v>
      </c>
      <c r="B46" s="53"/>
      <c r="C46" s="53"/>
      <c r="D46" s="28">
        <f>SUM(D47:D49)</f>
        <v>1258333.3400000001</v>
      </c>
      <c r="E46" s="37"/>
      <c r="F46" s="38"/>
      <c r="G46" s="39"/>
    </row>
    <row r="47" spans="1:7" ht="20.25" customHeight="1" x14ac:dyDescent="0.2">
      <c r="A47" s="54" t="s">
        <v>44</v>
      </c>
      <c r="B47" s="55"/>
      <c r="C47" s="55"/>
      <c r="D47" s="1"/>
      <c r="E47" s="37"/>
      <c r="F47" s="38"/>
      <c r="G47" s="39"/>
    </row>
    <row r="48" spans="1:7" ht="29.25" customHeight="1" x14ac:dyDescent="0.2">
      <c r="A48" s="54" t="s">
        <v>45</v>
      </c>
      <c r="B48" s="55"/>
      <c r="C48" s="55"/>
      <c r="D48" s="1">
        <v>1258333.3400000001</v>
      </c>
      <c r="E48" s="37" t="s">
        <v>63</v>
      </c>
      <c r="F48" s="38"/>
      <c r="G48" s="39"/>
    </row>
    <row r="49" spans="1:7" ht="20.25" customHeight="1" x14ac:dyDescent="0.2">
      <c r="A49" s="54" t="s">
        <v>46</v>
      </c>
      <c r="B49" s="55"/>
      <c r="C49" s="55"/>
      <c r="D49" s="1"/>
      <c r="E49" s="37"/>
      <c r="F49" s="38"/>
      <c r="G49" s="39"/>
    </row>
    <row r="50" spans="1:7" ht="20.25" customHeight="1" x14ac:dyDescent="0.2">
      <c r="A50" s="52" t="s">
        <v>47</v>
      </c>
      <c r="B50" s="53"/>
      <c r="C50" s="53"/>
      <c r="D50" s="28">
        <f>SUM(D51:D52)</f>
        <v>0</v>
      </c>
      <c r="E50" s="37"/>
      <c r="F50" s="38"/>
      <c r="G50" s="39"/>
    </row>
    <row r="51" spans="1:7" ht="20.25" customHeight="1" x14ac:dyDescent="0.2">
      <c r="A51" s="54" t="s">
        <v>48</v>
      </c>
      <c r="B51" s="55"/>
      <c r="C51" s="55"/>
      <c r="D51" s="1"/>
      <c r="E51" s="37"/>
      <c r="F51" s="38"/>
      <c r="G51" s="39"/>
    </row>
    <row r="52" spans="1:7" ht="20.25" customHeight="1" x14ac:dyDescent="0.2">
      <c r="A52" s="54" t="s">
        <v>49</v>
      </c>
      <c r="B52" s="55"/>
      <c r="C52" s="55"/>
      <c r="D52" s="1"/>
      <c r="E52" s="37"/>
      <c r="F52" s="38"/>
      <c r="G52" s="39"/>
    </row>
    <row r="53" spans="1:7" s="30" customFormat="1" ht="21.75" customHeight="1" x14ac:dyDescent="0.2">
      <c r="A53" s="62" t="s">
        <v>50</v>
      </c>
      <c r="B53" s="63"/>
      <c r="C53" s="63"/>
      <c r="D53" s="29">
        <f>D30+D36+D46+D50</f>
        <v>138047350.12</v>
      </c>
      <c r="E53" s="64"/>
      <c r="F53" s="65"/>
      <c r="G53" s="66"/>
    </row>
    <row r="55" spans="1:7" ht="14.25" x14ac:dyDescent="0.2">
      <c r="A55" s="23" t="s">
        <v>51</v>
      </c>
      <c r="B55" s="23"/>
      <c r="C55" s="23" t="s">
        <v>52</v>
      </c>
      <c r="D55" s="23"/>
      <c r="E55" s="23"/>
      <c r="F55" s="23"/>
      <c r="G55" s="23"/>
    </row>
    <row r="56" spans="1:7" ht="19.5" customHeight="1" x14ac:dyDescent="0.2">
      <c r="A56" s="23"/>
      <c r="B56" s="23"/>
      <c r="C56" s="23"/>
      <c r="D56" s="23"/>
      <c r="E56" s="23"/>
      <c r="F56" s="23"/>
      <c r="G56" s="23"/>
    </row>
    <row r="57" spans="1:7" ht="14.25" x14ac:dyDescent="0.2">
      <c r="A57" s="23" t="s">
        <v>53</v>
      </c>
      <c r="B57" s="23"/>
      <c r="C57" s="23"/>
      <c r="D57" s="23" t="s">
        <v>54</v>
      </c>
      <c r="E57" s="23"/>
      <c r="F57" s="23"/>
      <c r="G57" s="23"/>
    </row>
    <row r="58" spans="1:7" ht="32.25" customHeight="1" x14ac:dyDescent="0.2">
      <c r="A58" s="23"/>
      <c r="B58" s="23"/>
      <c r="C58" s="23"/>
      <c r="D58" s="23"/>
      <c r="E58" s="23"/>
      <c r="F58" s="23"/>
      <c r="G58" s="23"/>
    </row>
    <row r="59" spans="1:7" ht="14.25" x14ac:dyDescent="0.2">
      <c r="A59" s="23" t="s">
        <v>55</v>
      </c>
      <c r="B59" s="23"/>
      <c r="C59" s="23" t="s">
        <v>56</v>
      </c>
      <c r="E59" s="23"/>
      <c r="F59" s="23"/>
      <c r="G59" s="23"/>
    </row>
    <row r="60" spans="1:7" ht="14.25" x14ac:dyDescent="0.2">
      <c r="A60" s="23"/>
      <c r="B60" s="23"/>
      <c r="C60" s="23"/>
      <c r="D60" s="23"/>
      <c r="E60" s="23"/>
      <c r="F60" s="23"/>
      <c r="G60" s="23"/>
    </row>
    <row r="61" spans="1:7" ht="12.75" customHeight="1" x14ac:dyDescent="0.2">
      <c r="A61" s="23"/>
      <c r="B61" s="23"/>
      <c r="C61" s="23"/>
      <c r="D61" s="23"/>
      <c r="E61" s="23"/>
      <c r="F61" s="23"/>
      <c r="G61" s="23"/>
    </row>
    <row r="62" spans="1:7" ht="14.25" x14ac:dyDescent="0.2">
      <c r="A62" s="23"/>
      <c r="B62" s="23"/>
      <c r="C62" s="23"/>
      <c r="D62" s="23"/>
      <c r="E62" s="23"/>
      <c r="F62" s="23"/>
      <c r="G62" s="23"/>
    </row>
    <row r="63" spans="1:7" ht="14.25" x14ac:dyDescent="0.2">
      <c r="A63" s="23"/>
      <c r="B63" s="23"/>
      <c r="C63" s="23"/>
      <c r="D63" s="23"/>
      <c r="E63" s="23"/>
      <c r="F63" s="23"/>
      <c r="G63" s="23"/>
    </row>
    <row r="64" spans="1:7" ht="14.25" x14ac:dyDescent="0.2">
      <c r="A64" s="23"/>
      <c r="B64" s="23"/>
      <c r="C64" s="23"/>
      <c r="D64" s="23"/>
      <c r="E64" s="23"/>
      <c r="F64" s="23"/>
      <c r="G64" s="23"/>
    </row>
    <row r="65" spans="1:7" ht="14.25" x14ac:dyDescent="0.2">
      <c r="A65" s="23"/>
      <c r="B65" s="23"/>
      <c r="C65" s="23"/>
      <c r="D65" s="23"/>
      <c r="E65" s="23"/>
      <c r="F65" s="23"/>
      <c r="G65" s="23"/>
    </row>
  </sheetData>
  <mergeCells count="56">
    <mergeCell ref="A52:C52"/>
    <mergeCell ref="E52:G52"/>
    <mergeCell ref="A53:C53"/>
    <mergeCell ref="E53:G53"/>
    <mergeCell ref="A49:C49"/>
    <mergeCell ref="E49:G49"/>
    <mergeCell ref="A50:C50"/>
    <mergeCell ref="E50:G50"/>
    <mergeCell ref="A51:C51"/>
    <mergeCell ref="E51:G51"/>
    <mergeCell ref="A46:C46"/>
    <mergeCell ref="E46:G46"/>
    <mergeCell ref="A47:C47"/>
    <mergeCell ref="E47:G47"/>
    <mergeCell ref="A48:C48"/>
    <mergeCell ref="E48:G48"/>
    <mergeCell ref="A42:C42"/>
    <mergeCell ref="E42:G42"/>
    <mergeCell ref="A43:C43"/>
    <mergeCell ref="E43:G43"/>
    <mergeCell ref="A45:C45"/>
    <mergeCell ref="E45:G45"/>
    <mergeCell ref="A44:C44"/>
    <mergeCell ref="E44:G44"/>
    <mergeCell ref="A39:C39"/>
    <mergeCell ref="E39:G39"/>
    <mergeCell ref="A40:C40"/>
    <mergeCell ref="E40:G40"/>
    <mergeCell ref="A41:C41"/>
    <mergeCell ref="E41:G41"/>
    <mergeCell ref="A36:C36"/>
    <mergeCell ref="E36:G36"/>
    <mergeCell ref="A37:C37"/>
    <mergeCell ref="E37:G37"/>
    <mergeCell ref="A38:C38"/>
    <mergeCell ref="E38:G38"/>
    <mergeCell ref="E35:G35"/>
    <mergeCell ref="A9:G9"/>
    <mergeCell ref="A11:A12"/>
    <mergeCell ref="B11:C11"/>
    <mergeCell ref="D11:E11"/>
    <mergeCell ref="F11:G11"/>
    <mergeCell ref="A28:A29"/>
    <mergeCell ref="B28:D28"/>
    <mergeCell ref="E28:G29"/>
    <mergeCell ref="E30:G30"/>
    <mergeCell ref="E31:G31"/>
    <mergeCell ref="E32:G32"/>
    <mergeCell ref="E33:G33"/>
    <mergeCell ref="E34:G34"/>
    <mergeCell ref="A7:G7"/>
    <mergeCell ref="E1:G1"/>
    <mergeCell ref="E2:G2"/>
    <mergeCell ref="E3:G3"/>
    <mergeCell ref="E4:G4"/>
    <mergeCell ref="E5:G5"/>
  </mergeCells>
  <printOptions horizontalCentered="1"/>
  <pageMargins left="0" right="0.15748031496062992" top="0" bottom="0" header="0.51181102362204722" footer="0.51181102362204722"/>
  <pageSetup paperSize="9" scale="7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Новый БДР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Слащева О.В.</dc:creator>
  <cp:lastModifiedBy>user35</cp:lastModifiedBy>
  <cp:lastPrinted>2021-08-25T10:22:03Z</cp:lastPrinted>
  <dcterms:created xsi:type="dcterms:W3CDTF">2021-03-02T12:15:44Z</dcterms:created>
  <dcterms:modified xsi:type="dcterms:W3CDTF">2021-08-25T13:22:45Z</dcterms:modified>
</cp:coreProperties>
</file>