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120" yWindow="1545" windowWidth="15120" windowHeight="6570"/>
  </bookViews>
  <sheets>
    <sheet name="Июнь 2020" sheetId="3" r:id="rId1"/>
    <sheet name="Приход ДС" sheetId="4" r:id="rId2"/>
  </sheets>
  <definedNames>
    <definedName name="_xlnm._FilterDatabase" localSheetId="0" hidden="1">'Июнь 2020'!$A$4:$WVR$452</definedName>
    <definedName name="_xlnm.Print_Area" localSheetId="0">'Июнь 2020'!$A$2:$AT$452</definedName>
  </definedNames>
  <calcPr calcId="125725"/>
</workbook>
</file>

<file path=xl/calcChain.xml><?xml version="1.0" encoding="utf-8"?>
<calcChain xmlns="http://schemas.openxmlformats.org/spreadsheetml/2006/main">
  <c r="E444" i="3"/>
  <c r="H438"/>
  <c r="H439"/>
  <c r="F439"/>
  <c r="F438"/>
  <c r="B439"/>
  <c r="B438"/>
  <c r="I437"/>
  <c r="H428"/>
  <c r="F428"/>
  <c r="B428"/>
  <c r="F410"/>
  <c r="H410"/>
  <c r="B410"/>
  <c r="H403"/>
  <c r="F403"/>
  <c r="B403"/>
  <c r="B401"/>
  <c r="C401" s="1"/>
  <c r="B397"/>
  <c r="C397" s="1"/>
  <c r="B362"/>
  <c r="H362" s="1"/>
  <c r="F339"/>
  <c r="B339"/>
  <c r="H339" s="1"/>
  <c r="F317"/>
  <c r="B317"/>
  <c r="H317" s="1"/>
  <c r="B316"/>
  <c r="F316" s="1"/>
  <c r="F315"/>
  <c r="B315"/>
  <c r="H315"/>
  <c r="F297"/>
  <c r="B297"/>
  <c r="H297" s="1"/>
  <c r="B176"/>
  <c r="C176" s="1"/>
  <c r="B232"/>
  <c r="C232" s="1"/>
  <c r="B274"/>
  <c r="C274" s="1"/>
  <c r="B253"/>
  <c r="C253" s="1"/>
  <c r="B211"/>
  <c r="H211" s="1"/>
  <c r="F207"/>
  <c r="B207"/>
  <c r="H207" s="1"/>
  <c r="B150"/>
  <c r="C150" s="1"/>
  <c r="B146"/>
  <c r="H146" s="1"/>
  <c r="B109"/>
  <c r="C109" s="1"/>
  <c r="B115"/>
  <c r="H115" s="1"/>
  <c r="B17"/>
  <c r="H17" s="1"/>
  <c r="B119"/>
  <c r="H119" s="1"/>
  <c r="B107"/>
  <c r="C107" s="1"/>
  <c r="B106"/>
  <c r="F106" s="1"/>
  <c r="B68"/>
  <c r="H68" s="1"/>
  <c r="B64"/>
  <c r="C64" s="1"/>
  <c r="B55"/>
  <c r="H55" s="1"/>
  <c r="B52"/>
  <c r="F52" s="1"/>
  <c r="B44"/>
  <c r="H44" s="1"/>
  <c r="F36"/>
  <c r="B36"/>
  <c r="H36" s="1"/>
  <c r="B34"/>
  <c r="H34" s="1"/>
  <c r="B27"/>
  <c r="C27" s="1"/>
  <c r="B15"/>
  <c r="F15" s="1"/>
  <c r="B14"/>
  <c r="F14" s="1"/>
  <c r="E33" i="4"/>
  <c r="E31"/>
  <c r="E29"/>
  <c r="E451" i="3"/>
  <c r="B363"/>
  <c r="B342"/>
  <c r="F342" s="1"/>
  <c r="B296"/>
  <c r="H296" s="1"/>
  <c r="B252"/>
  <c r="C252" s="1"/>
  <c r="B263"/>
  <c r="C263" s="1"/>
  <c r="B187"/>
  <c r="F187" s="1"/>
  <c r="B162"/>
  <c r="H162" s="1"/>
  <c r="B145"/>
  <c r="F145" s="1"/>
  <c r="B82"/>
  <c r="H82" s="1"/>
  <c r="B12"/>
  <c r="H12" s="1"/>
  <c r="B346"/>
  <c r="C346" s="1"/>
  <c r="B308"/>
  <c r="H308" s="1"/>
  <c r="B174"/>
  <c r="H174" s="1"/>
  <c r="B172"/>
  <c r="H172" s="1"/>
  <c r="B171"/>
  <c r="F171" s="1"/>
  <c r="B131"/>
  <c r="H131" s="1"/>
  <c r="E12" i="4"/>
  <c r="E452" i="3"/>
  <c r="H404"/>
  <c r="B404"/>
  <c r="F404" s="1"/>
  <c r="B364"/>
  <c r="H364" s="1"/>
  <c r="B345"/>
  <c r="H345" s="1"/>
  <c r="B230"/>
  <c r="F230" s="1"/>
  <c r="B229"/>
  <c r="F229" s="1"/>
  <c r="B222"/>
  <c r="H222" s="1"/>
  <c r="B170"/>
  <c r="F170" s="1"/>
  <c r="B116"/>
  <c r="I116"/>
  <c r="B105"/>
  <c r="C105" s="1"/>
  <c r="H316" l="1"/>
  <c r="F172"/>
  <c r="F362"/>
  <c r="F119"/>
  <c r="F211"/>
  <c r="F146"/>
  <c r="F308"/>
  <c r="F296"/>
  <c r="H52"/>
  <c r="F17"/>
  <c r="F222"/>
  <c r="H106"/>
  <c r="F55"/>
  <c r="F68"/>
  <c r="F34"/>
  <c r="C44"/>
  <c r="H14"/>
  <c r="F82"/>
  <c r="H15"/>
  <c r="H342"/>
  <c r="H116"/>
  <c r="H229"/>
  <c r="H346"/>
  <c r="H145"/>
  <c r="F12"/>
  <c r="H187"/>
  <c r="F162"/>
  <c r="F174"/>
  <c r="H170"/>
  <c r="C345"/>
  <c r="F131"/>
  <c r="F364"/>
  <c r="F116"/>
  <c r="H230"/>
  <c r="B389"/>
  <c r="H389" s="1"/>
  <c r="B108"/>
  <c r="H108" s="1"/>
  <c r="B33"/>
  <c r="H33" s="1"/>
  <c r="B20"/>
  <c r="F20" s="1"/>
  <c r="I436"/>
  <c r="B223"/>
  <c r="H223" s="1"/>
  <c r="B37"/>
  <c r="H37" s="1"/>
  <c r="B432"/>
  <c r="H432" s="1"/>
  <c r="I429"/>
  <c r="B326"/>
  <c r="H326" s="1"/>
  <c r="B303"/>
  <c r="H303" s="1"/>
  <c r="B249"/>
  <c r="H249" s="1"/>
  <c r="B218"/>
  <c r="H218" s="1"/>
  <c r="B426"/>
  <c r="H426" s="1"/>
  <c r="B347"/>
  <c r="H347" s="1"/>
  <c r="B219"/>
  <c r="F219" s="1"/>
  <c r="B188"/>
  <c r="H188" s="1"/>
  <c r="B104"/>
  <c r="C104" s="1"/>
  <c r="I425"/>
  <c r="B416"/>
  <c r="H416" s="1"/>
  <c r="I415"/>
  <c r="B380"/>
  <c r="F380" s="1"/>
  <c r="I262"/>
  <c r="B239"/>
  <c r="H239" s="1"/>
  <c r="B35"/>
  <c r="C35" s="1"/>
  <c r="B114"/>
  <c r="F114" s="1"/>
  <c r="B41"/>
  <c r="H41" s="1"/>
  <c r="B23"/>
  <c r="H23" s="1"/>
  <c r="I427"/>
  <c r="I420"/>
  <c r="I417"/>
  <c r="I413"/>
  <c r="B412"/>
  <c r="H412" s="1"/>
  <c r="B332"/>
  <c r="C332" s="1"/>
  <c r="B298"/>
  <c r="H298" s="1"/>
  <c r="B243"/>
  <c r="H243" s="1"/>
  <c r="B201"/>
  <c r="F201" s="1"/>
  <c r="B138"/>
  <c r="F138" s="1"/>
  <c r="H138"/>
  <c r="B129"/>
  <c r="H129" s="1"/>
  <c r="A447"/>
  <c r="F303" l="1"/>
  <c r="F33"/>
  <c r="F416"/>
  <c r="F223"/>
  <c r="F389"/>
  <c r="H380"/>
  <c r="H20"/>
  <c r="C108"/>
  <c r="F188"/>
  <c r="F432"/>
  <c r="F298"/>
  <c r="F37"/>
  <c r="F326"/>
  <c r="C426"/>
  <c r="F218"/>
  <c r="F41"/>
  <c r="C249"/>
  <c r="C347"/>
  <c r="F239"/>
  <c r="F412"/>
  <c r="F23"/>
  <c r="H201"/>
  <c r="F243"/>
  <c r="F129"/>
  <c r="D407"/>
  <c r="D280"/>
  <c r="G26" i="4" l="1"/>
  <c r="G27"/>
  <c r="G28"/>
  <c r="G29"/>
  <c r="G23"/>
  <c r="G22"/>
  <c r="G21"/>
  <c r="G20"/>
  <c r="G19"/>
  <c r="G18"/>
  <c r="E441" i="3"/>
  <c r="E407"/>
  <c r="E280"/>
  <c r="E135" l="1"/>
  <c r="B377"/>
  <c r="F377" s="1"/>
  <c r="B376"/>
  <c r="H376" s="1"/>
  <c r="C337"/>
  <c r="B241"/>
  <c r="H241" s="1"/>
  <c r="B228"/>
  <c r="H228" s="1"/>
  <c r="B101"/>
  <c r="H101" s="1"/>
  <c r="B100"/>
  <c r="H100" s="1"/>
  <c r="B191"/>
  <c r="F191" s="1"/>
  <c r="B344"/>
  <c r="C344" s="1"/>
  <c r="B385"/>
  <c r="H385" s="1"/>
  <c r="I336"/>
  <c r="F241" l="1"/>
  <c r="F376"/>
  <c r="H191"/>
  <c r="F228"/>
  <c r="H377"/>
  <c r="F385"/>
  <c r="C101"/>
  <c r="F100"/>
  <c r="B168"/>
  <c r="H168" s="1"/>
  <c r="F168" l="1"/>
  <c r="H105"/>
  <c r="B84"/>
  <c r="H84" s="1"/>
  <c r="B357"/>
  <c r="F357" s="1"/>
  <c r="B331"/>
  <c r="F331" s="1"/>
  <c r="B325"/>
  <c r="F325" s="1"/>
  <c r="I306"/>
  <c r="B203"/>
  <c r="H203" s="1"/>
  <c r="H114"/>
  <c r="B118"/>
  <c r="H118" s="1"/>
  <c r="H109"/>
  <c r="B90"/>
  <c r="H90" s="1"/>
  <c r="B343"/>
  <c r="F343" s="1"/>
  <c r="B294"/>
  <c r="H294" s="1"/>
  <c r="B227"/>
  <c r="H227" s="1"/>
  <c r="H141"/>
  <c r="B141"/>
  <c r="F141" s="1"/>
  <c r="B83"/>
  <c r="H406"/>
  <c r="B406"/>
  <c r="F406" s="1"/>
  <c r="B289"/>
  <c r="H289" s="1"/>
  <c r="B42"/>
  <c r="F42" s="1"/>
  <c r="B378"/>
  <c r="H378" s="1"/>
  <c r="B366"/>
  <c r="F366" s="1"/>
  <c r="B302"/>
  <c r="H302" s="1"/>
  <c r="H219"/>
  <c r="H357" l="1"/>
  <c r="F227"/>
  <c r="F84"/>
  <c r="F118"/>
  <c r="H343"/>
  <c r="H331"/>
  <c r="H325"/>
  <c r="F90"/>
  <c r="F203"/>
  <c r="F294"/>
  <c r="F289"/>
  <c r="H42"/>
  <c r="F378"/>
  <c r="H366"/>
  <c r="F302"/>
  <c r="B120"/>
  <c r="H120" s="1"/>
  <c r="B425"/>
  <c r="B394"/>
  <c r="C394" s="1"/>
  <c r="B220"/>
  <c r="C220" s="1"/>
  <c r="B200"/>
  <c r="C200" s="1"/>
  <c r="B79"/>
  <c r="F79" s="1"/>
  <c r="F120" l="1"/>
  <c r="H263"/>
  <c r="C425"/>
  <c r="H220"/>
  <c r="H79"/>
  <c r="B8"/>
  <c r="H8" s="1"/>
  <c r="B360"/>
  <c r="F360" s="1"/>
  <c r="B202"/>
  <c r="C202" s="1"/>
  <c r="B221"/>
  <c r="H221" s="1"/>
  <c r="B49"/>
  <c r="H49" s="1"/>
  <c r="B40"/>
  <c r="H40" s="1"/>
  <c r="B80"/>
  <c r="F80" s="1"/>
  <c r="H425"/>
  <c r="H171"/>
  <c r="B117"/>
  <c r="F117" s="1"/>
  <c r="B190"/>
  <c r="F190" s="1"/>
  <c r="B192"/>
  <c r="B193"/>
  <c r="B209"/>
  <c r="H209" s="1"/>
  <c r="B196"/>
  <c r="F196" s="1"/>
  <c r="B165"/>
  <c r="H165" s="1"/>
  <c r="B166"/>
  <c r="H166" s="1"/>
  <c r="B156"/>
  <c r="H156" s="1"/>
  <c r="B147"/>
  <c r="H147" s="1"/>
  <c r="F209" l="1"/>
  <c r="F40"/>
  <c r="F221"/>
  <c r="F156"/>
  <c r="F8"/>
  <c r="F49"/>
  <c r="H360"/>
  <c r="H202"/>
  <c r="H80"/>
  <c r="F165"/>
  <c r="H196"/>
  <c r="F166"/>
  <c r="F147"/>
  <c r="B382"/>
  <c r="F382" s="1"/>
  <c r="B354"/>
  <c r="H354" s="1"/>
  <c r="I344"/>
  <c r="B324"/>
  <c r="F324" s="1"/>
  <c r="B210"/>
  <c r="H210" s="1"/>
  <c r="B204"/>
  <c r="H204" s="1"/>
  <c r="B175"/>
  <c r="H175" s="1"/>
  <c r="B167"/>
  <c r="H167" s="1"/>
  <c r="B96"/>
  <c r="H96" s="1"/>
  <c r="B92"/>
  <c r="H92" s="1"/>
  <c r="B74"/>
  <c r="H74" s="1"/>
  <c r="B267"/>
  <c r="F267" s="1"/>
  <c r="B157"/>
  <c r="F157" s="1"/>
  <c r="B45"/>
  <c r="H45" s="1"/>
  <c r="B361"/>
  <c r="H361" s="1"/>
  <c r="I200"/>
  <c r="H200" s="1"/>
  <c r="B181"/>
  <c r="F181" s="1"/>
  <c r="B50"/>
  <c r="H50" s="1"/>
  <c r="H397"/>
  <c r="B381"/>
  <c r="F381" s="1"/>
  <c r="B251"/>
  <c r="F251" s="1"/>
  <c r="H251"/>
  <c r="B133"/>
  <c r="H133" s="1"/>
  <c r="B123"/>
  <c r="F123" s="1"/>
  <c r="H157" l="1"/>
  <c r="F204"/>
  <c r="H382"/>
  <c r="F354"/>
  <c r="F92"/>
  <c r="H344"/>
  <c r="H324"/>
  <c r="F361"/>
  <c r="F96"/>
  <c r="H190"/>
  <c r="F210"/>
  <c r="F175"/>
  <c r="F167"/>
  <c r="F74"/>
  <c r="H181"/>
  <c r="H267"/>
  <c r="F45"/>
  <c r="F50"/>
  <c r="H381"/>
  <c r="F133"/>
  <c r="H123"/>
  <c r="B374"/>
  <c r="H374" s="1"/>
  <c r="B21"/>
  <c r="H21" s="1"/>
  <c r="D442"/>
  <c r="F21" l="1"/>
  <c r="F374"/>
  <c r="B359"/>
  <c r="F359" s="1"/>
  <c r="B336"/>
  <c r="F336" s="1"/>
  <c r="H359" l="1"/>
  <c r="H336"/>
  <c r="B213"/>
  <c r="H213" s="1"/>
  <c r="B186"/>
  <c r="H186" s="1"/>
  <c r="I186"/>
  <c r="B9"/>
  <c r="H9" s="1"/>
  <c r="B65"/>
  <c r="F65" s="1"/>
  <c r="B59"/>
  <c r="H59" s="1"/>
  <c r="B279"/>
  <c r="H279" s="1"/>
  <c r="B233"/>
  <c r="H233" s="1"/>
  <c r="F213" l="1"/>
  <c r="H64"/>
  <c r="F186"/>
  <c r="F233"/>
  <c r="F9"/>
  <c r="H65"/>
  <c r="F59"/>
  <c r="F279"/>
  <c r="B112"/>
  <c r="B306"/>
  <c r="B307"/>
  <c r="H307" s="1"/>
  <c r="B189"/>
  <c r="B72"/>
  <c r="H72" s="1"/>
  <c r="B264"/>
  <c r="H264" s="1"/>
  <c r="H112" l="1"/>
  <c r="F112"/>
  <c r="F264"/>
  <c r="H252"/>
  <c r="F306"/>
  <c r="F307"/>
  <c r="F72"/>
  <c r="B423"/>
  <c r="H423" s="1"/>
  <c r="I350"/>
  <c r="B275"/>
  <c r="H275" s="1"/>
  <c r="B255"/>
  <c r="H255" s="1"/>
  <c r="B197"/>
  <c r="F197" s="1"/>
  <c r="B77"/>
  <c r="F77" s="1"/>
  <c r="B60"/>
  <c r="H60" s="1"/>
  <c r="B56"/>
  <c r="B30"/>
  <c r="H30" s="1"/>
  <c r="B182"/>
  <c r="C182" s="1"/>
  <c r="I169"/>
  <c r="B159"/>
  <c r="B71"/>
  <c r="H71" s="1"/>
  <c r="B57"/>
  <c r="H57" s="1"/>
  <c r="B31"/>
  <c r="H31" s="1"/>
  <c r="B19"/>
  <c r="C19" s="1"/>
  <c r="B18"/>
  <c r="F18" s="1"/>
  <c r="H232"/>
  <c r="B323"/>
  <c r="H323" s="1"/>
  <c r="H35"/>
  <c r="B46"/>
  <c r="H46" s="1"/>
  <c r="B47"/>
  <c r="F47" s="1"/>
  <c r="B48"/>
  <c r="F48" s="1"/>
  <c r="B149"/>
  <c r="B13"/>
  <c r="H13" l="1"/>
  <c r="F13"/>
  <c r="H56"/>
  <c r="F56"/>
  <c r="F149"/>
  <c r="H149"/>
  <c r="C159"/>
  <c r="H159"/>
  <c r="F60"/>
  <c r="H197"/>
  <c r="F71"/>
  <c r="F275"/>
  <c r="F423"/>
  <c r="F31"/>
  <c r="F57"/>
  <c r="F255"/>
  <c r="H77"/>
  <c r="F30"/>
  <c r="H117"/>
  <c r="F323"/>
  <c r="H47"/>
  <c r="H48"/>
  <c r="F46"/>
  <c r="B373"/>
  <c r="H373" s="1"/>
  <c r="B375"/>
  <c r="H375" s="1"/>
  <c r="I309"/>
  <c r="B61"/>
  <c r="H61" s="1"/>
  <c r="B198"/>
  <c r="F198" s="1"/>
  <c r="F375" l="1"/>
  <c r="H198"/>
  <c r="F373"/>
  <c r="F61"/>
  <c r="B250" l="1"/>
  <c r="H250" s="1"/>
  <c r="F250" l="1"/>
  <c r="G10" i="4"/>
  <c r="B424" i="3"/>
  <c r="B390" l="1"/>
  <c r="H390" s="1"/>
  <c r="B338"/>
  <c r="H338" s="1"/>
  <c r="B314"/>
  <c r="F314" s="1"/>
  <c r="B304"/>
  <c r="C304" s="1"/>
  <c r="B305"/>
  <c r="F305" s="1"/>
  <c r="I299"/>
  <c r="F338" l="1"/>
  <c r="F390"/>
  <c r="H305"/>
  <c r="B435"/>
  <c r="C435" s="1"/>
  <c r="I393"/>
  <c r="B387"/>
  <c r="I356"/>
  <c r="B355"/>
  <c r="C355" s="1"/>
  <c r="B319"/>
  <c r="C319" s="1"/>
  <c r="B301"/>
  <c r="C301" s="1"/>
  <c r="B256"/>
  <c r="F256" s="1"/>
  <c r="B216"/>
  <c r="C216" s="1"/>
  <c r="B164"/>
  <c r="F164" s="1"/>
  <c r="B148"/>
  <c r="C148" s="1"/>
  <c r="B110"/>
  <c r="F110" s="1"/>
  <c r="B91"/>
  <c r="F91" s="1"/>
  <c r="F83"/>
  <c r="B433"/>
  <c r="F433" s="1"/>
  <c r="B413"/>
  <c r="B414"/>
  <c r="B415"/>
  <c r="B417"/>
  <c r="B418"/>
  <c r="B419"/>
  <c r="B420"/>
  <c r="B421"/>
  <c r="B422"/>
  <c r="B427"/>
  <c r="F427" s="1"/>
  <c r="B429"/>
  <c r="F429" s="1"/>
  <c r="B430"/>
  <c r="F430" s="1"/>
  <c r="B431"/>
  <c r="F431" s="1"/>
  <c r="B436"/>
  <c r="F436" s="1"/>
  <c r="B437"/>
  <c r="F437" s="1"/>
  <c r="H319" l="1"/>
  <c r="B367"/>
  <c r="F367" s="1"/>
  <c r="B185"/>
  <c r="H185" s="1"/>
  <c r="F189"/>
  <c r="B62"/>
  <c r="F62" s="1"/>
  <c r="B54"/>
  <c r="B51"/>
  <c r="F185" l="1"/>
  <c r="H62"/>
  <c r="H54"/>
  <c r="F54"/>
  <c r="H51"/>
  <c r="F51"/>
  <c r="H367"/>
  <c r="B199"/>
  <c r="F199" s="1"/>
  <c r="B208" l="1"/>
  <c r="H199"/>
  <c r="B16"/>
  <c r="H16" s="1"/>
  <c r="B393"/>
  <c r="I379"/>
  <c r="B234"/>
  <c r="F234" s="1"/>
  <c r="I234"/>
  <c r="I195"/>
  <c r="I394"/>
  <c r="H394" s="1"/>
  <c r="H306"/>
  <c r="I150"/>
  <c r="I148"/>
  <c r="I19"/>
  <c r="I301"/>
  <c r="F208" l="1"/>
  <c r="H208"/>
  <c r="H393"/>
  <c r="F393"/>
  <c r="F16"/>
  <c r="H234"/>
  <c r="H301"/>
  <c r="H19"/>
  <c r="B358"/>
  <c r="B169"/>
  <c r="F169" s="1"/>
  <c r="H91"/>
  <c r="H358" l="1"/>
  <c r="F358"/>
  <c r="H169"/>
  <c r="B399"/>
  <c r="B103"/>
  <c r="H103" s="1"/>
  <c r="B102"/>
  <c r="H102" s="1"/>
  <c r="H399" l="1"/>
  <c r="F399"/>
  <c r="F103"/>
  <c r="F102"/>
  <c r="B242"/>
  <c r="F242" s="1"/>
  <c r="H242" l="1"/>
  <c r="B87"/>
  <c r="H87" l="1"/>
  <c r="F87"/>
  <c r="B195"/>
  <c r="H195" s="1"/>
  <c r="B143"/>
  <c r="H143" s="1"/>
  <c r="H83"/>
  <c r="F195" l="1"/>
  <c r="F143"/>
  <c r="B173"/>
  <c r="H173" l="1"/>
  <c r="F173"/>
  <c r="B94"/>
  <c r="B392"/>
  <c r="B309"/>
  <c r="F309" s="1"/>
  <c r="E283"/>
  <c r="H282"/>
  <c r="F282"/>
  <c r="B282"/>
  <c r="B272"/>
  <c r="F272" s="1"/>
  <c r="B245"/>
  <c r="H392" l="1"/>
  <c r="F392"/>
  <c r="H245"/>
  <c r="F245"/>
  <c r="H94"/>
  <c r="F94"/>
  <c r="F283"/>
  <c r="B283" s="1"/>
  <c r="H309"/>
  <c r="H272"/>
  <c r="B152"/>
  <c r="H152" s="1"/>
  <c r="B93"/>
  <c r="F93" s="1"/>
  <c r="B391"/>
  <c r="B318"/>
  <c r="H318" s="1"/>
  <c r="B311"/>
  <c r="H311" s="1"/>
  <c r="H256"/>
  <c r="B259"/>
  <c r="H391" l="1"/>
  <c r="F391"/>
  <c r="H259"/>
  <c r="F259"/>
  <c r="H93"/>
  <c r="F152"/>
  <c r="F318"/>
  <c r="F311"/>
  <c r="B113"/>
  <c r="F113" s="1"/>
  <c r="B43"/>
  <c r="H43" s="1"/>
  <c r="H110" l="1"/>
  <c r="H113"/>
  <c r="F43"/>
  <c r="B398"/>
  <c r="B327"/>
  <c r="H327" s="1"/>
  <c r="B313"/>
  <c r="H313" s="1"/>
  <c r="B300"/>
  <c r="H300" s="1"/>
  <c r="H164"/>
  <c r="B163"/>
  <c r="H163" s="1"/>
  <c r="B158"/>
  <c r="H158" s="1"/>
  <c r="B125"/>
  <c r="F125" s="1"/>
  <c r="H104"/>
  <c r="B73"/>
  <c r="B26"/>
  <c r="H26" s="1"/>
  <c r="H398" l="1"/>
  <c r="F398"/>
  <c r="H73"/>
  <c r="F73"/>
  <c r="F327"/>
  <c r="F313"/>
  <c r="F300"/>
  <c r="F163"/>
  <c r="F158"/>
  <c r="H125"/>
  <c r="F26"/>
  <c r="B368"/>
  <c r="B258"/>
  <c r="F258" s="1"/>
  <c r="B260"/>
  <c r="F260" s="1"/>
  <c r="B261"/>
  <c r="F261" s="1"/>
  <c r="B262"/>
  <c r="F262" s="1"/>
  <c r="B265"/>
  <c r="F265" s="1"/>
  <c r="B235"/>
  <c r="F235" s="1"/>
  <c r="B66"/>
  <c r="F66" s="1"/>
  <c r="B67"/>
  <c r="F67" s="1"/>
  <c r="B320"/>
  <c r="H320" s="1"/>
  <c r="B236"/>
  <c r="H368" l="1"/>
  <c r="F368"/>
  <c r="H236"/>
  <c r="F236"/>
  <c r="F320"/>
  <c r="B372"/>
  <c r="H372" l="1"/>
  <c r="F372"/>
  <c r="B225"/>
  <c r="F225" s="1"/>
  <c r="H225" l="1"/>
  <c r="B86"/>
  <c r="F86" s="1"/>
  <c r="B266"/>
  <c r="F266" s="1"/>
  <c r="B248"/>
  <c r="B247"/>
  <c r="B130"/>
  <c r="H130" s="1"/>
  <c r="F417"/>
  <c r="B349"/>
  <c r="H349" s="1"/>
  <c r="B226"/>
  <c r="F226" s="1"/>
  <c r="B153"/>
  <c r="B89"/>
  <c r="F89" s="1"/>
  <c r="B88"/>
  <c r="H429"/>
  <c r="H153" l="1"/>
  <c r="F153"/>
  <c r="H248"/>
  <c r="F248"/>
  <c r="H247"/>
  <c r="F247"/>
  <c r="H88"/>
  <c r="F88"/>
  <c r="F349"/>
  <c r="F130"/>
  <c r="H417"/>
  <c r="H266"/>
  <c r="H89"/>
  <c r="H86"/>
  <c r="H226"/>
  <c r="B312"/>
  <c r="H312" s="1"/>
  <c r="B292"/>
  <c r="F292" s="1"/>
  <c r="B206"/>
  <c r="H206" s="1"/>
  <c r="H262"/>
  <c r="F206" l="1"/>
  <c r="H292"/>
  <c r="F312"/>
  <c r="B395"/>
  <c r="B178"/>
  <c r="B268"/>
  <c r="F268" s="1"/>
  <c r="B183"/>
  <c r="B160"/>
  <c r="F160" s="1"/>
  <c r="H395" l="1"/>
  <c r="F395"/>
  <c r="H183"/>
  <c r="F183"/>
  <c r="H178"/>
  <c r="F178"/>
  <c r="H268"/>
  <c r="H160"/>
  <c r="B98"/>
  <c r="F98" s="1"/>
  <c r="B329"/>
  <c r="F329" s="1"/>
  <c r="H363" l="1"/>
  <c r="F363"/>
  <c r="H98"/>
  <c r="H329"/>
  <c r="B97"/>
  <c r="F418"/>
  <c r="B328"/>
  <c r="F328" s="1"/>
  <c r="H97" l="1"/>
  <c r="F97"/>
  <c r="H418"/>
  <c r="B63"/>
  <c r="G9" i="4"/>
  <c r="H63" i="3" l="1"/>
  <c r="F63"/>
  <c r="H18"/>
  <c r="B39"/>
  <c r="B32"/>
  <c r="H32" s="1"/>
  <c r="H39" l="1"/>
  <c r="F39"/>
  <c r="H192"/>
  <c r="F32"/>
  <c r="B402"/>
  <c r="H402" s="1"/>
  <c r="B293"/>
  <c r="F293" s="1"/>
  <c r="H189"/>
  <c r="B154"/>
  <c r="H154" s="1"/>
  <c r="F154" l="1"/>
  <c r="H107"/>
  <c r="F402"/>
  <c r="H293"/>
  <c r="B70"/>
  <c r="B440"/>
  <c r="F440" s="1"/>
  <c r="H260"/>
  <c r="B7"/>
  <c r="F7" s="1"/>
  <c r="H70" l="1"/>
  <c r="F70"/>
  <c r="H7"/>
  <c r="H437"/>
  <c r="B276"/>
  <c r="H276" s="1"/>
  <c r="B137"/>
  <c r="F137" s="1"/>
  <c r="H137"/>
  <c r="B384"/>
  <c r="B371"/>
  <c r="B271"/>
  <c r="B254"/>
  <c r="B24"/>
  <c r="F24" s="1"/>
  <c r="B409"/>
  <c r="F421"/>
  <c r="B322"/>
  <c r="H322" s="1"/>
  <c r="H371" l="1"/>
  <c r="F371"/>
  <c r="H384"/>
  <c r="F384"/>
  <c r="H271"/>
  <c r="F271"/>
  <c r="H254"/>
  <c r="F254"/>
  <c r="F276"/>
  <c r="H420"/>
  <c r="F420"/>
  <c r="F322"/>
  <c r="H24"/>
  <c r="H421"/>
  <c r="H261"/>
  <c r="B370" l="1"/>
  <c r="F370" s="1"/>
  <c r="B379"/>
  <c r="F379" s="1"/>
  <c r="B238"/>
  <c r="F238" s="1"/>
  <c r="B95"/>
  <c r="F95" s="1"/>
  <c r="B99"/>
  <c r="F99" s="1"/>
  <c r="F419" l="1"/>
  <c r="H419" l="1"/>
  <c r="H430"/>
  <c r="B290"/>
  <c r="H290" s="1"/>
  <c r="B269"/>
  <c r="F269" s="1"/>
  <c r="H269" l="1"/>
  <c r="H253"/>
  <c r="F290"/>
  <c r="B411" l="1"/>
  <c r="F411" s="1"/>
  <c r="H370"/>
  <c r="B257"/>
  <c r="H238"/>
  <c r="B215"/>
  <c r="B142"/>
  <c r="H142" s="1"/>
  <c r="H95"/>
  <c r="H215" l="1"/>
  <c r="F215"/>
  <c r="H257"/>
  <c r="F257"/>
  <c r="H411"/>
  <c r="F142"/>
  <c r="H427"/>
  <c r="B369"/>
  <c r="B291"/>
  <c r="H291" s="1"/>
  <c r="B180"/>
  <c r="F180" s="1"/>
  <c r="B244"/>
  <c r="H369" l="1"/>
  <c r="F369"/>
  <c r="H244"/>
  <c r="F244"/>
  <c r="H180"/>
  <c r="H436"/>
  <c r="H433"/>
  <c r="F291"/>
  <c r="B10"/>
  <c r="F10" s="1"/>
  <c r="H274"/>
  <c r="B76"/>
  <c r="F76" s="1"/>
  <c r="H193" l="1"/>
  <c r="F193"/>
  <c r="H182"/>
  <c r="H76"/>
  <c r="H10"/>
  <c r="B184"/>
  <c r="F184" s="1"/>
  <c r="I440"/>
  <c r="H440" s="1"/>
  <c r="H184" l="1"/>
  <c r="B177"/>
  <c r="F177" s="1"/>
  <c r="F422"/>
  <c r="B246"/>
  <c r="B29"/>
  <c r="F29" s="1"/>
  <c r="B383"/>
  <c r="F383" s="1"/>
  <c r="F452" s="1"/>
  <c r="B217"/>
  <c r="F217" s="1"/>
  <c r="H246" l="1"/>
  <c r="F246"/>
  <c r="H29"/>
  <c r="H217"/>
  <c r="H422"/>
  <c r="H177"/>
  <c r="B356"/>
  <c r="B128"/>
  <c r="H128" s="1"/>
  <c r="H356" l="1"/>
  <c r="F356"/>
  <c r="H216"/>
  <c r="F128"/>
  <c r="H431"/>
  <c r="B179" l="1"/>
  <c r="F179" s="1"/>
  <c r="B194"/>
  <c r="F194" s="1"/>
  <c r="B205"/>
  <c r="F205" s="1"/>
  <c r="B212"/>
  <c r="F212" s="1"/>
  <c r="B214"/>
  <c r="F214" s="1"/>
  <c r="B224"/>
  <c r="F224" s="1"/>
  <c r="B237"/>
  <c r="F237" s="1"/>
  <c r="B240"/>
  <c r="F240" s="1"/>
  <c r="B270"/>
  <c r="F270" s="1"/>
  <c r="B273"/>
  <c r="B53"/>
  <c r="F53" s="1"/>
  <c r="B58"/>
  <c r="F58" s="1"/>
  <c r="B69"/>
  <c r="F69" s="1"/>
  <c r="B78"/>
  <c r="F78" s="1"/>
  <c r="B81"/>
  <c r="F81" s="1"/>
  <c r="B85"/>
  <c r="F85" s="1"/>
  <c r="B111"/>
  <c r="F111" s="1"/>
  <c r="B121"/>
  <c r="F121" s="1"/>
  <c r="B122"/>
  <c r="F122" s="1"/>
  <c r="B124"/>
  <c r="F124" s="1"/>
  <c r="B126"/>
  <c r="B132"/>
  <c r="B388"/>
  <c r="F388" s="1"/>
  <c r="B28"/>
  <c r="B335"/>
  <c r="H335" s="1"/>
  <c r="H28" l="1"/>
  <c r="F28"/>
  <c r="H53"/>
  <c r="B452"/>
  <c r="C452" s="1"/>
  <c r="F335"/>
  <c r="H270"/>
  <c r="B25"/>
  <c r="H413"/>
  <c r="B350"/>
  <c r="F350" s="1"/>
  <c r="B341"/>
  <c r="F341" s="1"/>
  <c r="B340"/>
  <c r="F340" s="1"/>
  <c r="H25" l="1"/>
  <c r="F25"/>
  <c r="F413"/>
  <c r="H340"/>
  <c r="H350"/>
  <c r="H205"/>
  <c r="H341"/>
  <c r="H314"/>
  <c r="B400"/>
  <c r="F400" s="1"/>
  <c r="B348"/>
  <c r="F348" s="1"/>
  <c r="H122"/>
  <c r="H400" l="1"/>
  <c r="H348"/>
  <c r="H409"/>
  <c r="F409"/>
  <c r="H265"/>
  <c r="I332"/>
  <c r="I179"/>
  <c r="H401" l="1"/>
  <c r="H304"/>
  <c r="H258" l="1"/>
  <c r="H121"/>
  <c r="H85" l="1"/>
  <c r="H69"/>
  <c r="H67"/>
  <c r="B38"/>
  <c r="F285"/>
  <c r="F451" s="1"/>
  <c r="H235"/>
  <c r="H212"/>
  <c r="F286" l="1"/>
  <c r="B451"/>
  <c r="C451" s="1"/>
  <c r="H38"/>
  <c r="F38"/>
  <c r="H388"/>
  <c r="H332"/>
  <c r="B161" l="1"/>
  <c r="F161" s="1"/>
  <c r="B155"/>
  <c r="H155" s="1"/>
  <c r="H78"/>
  <c r="B352"/>
  <c r="H352" s="1"/>
  <c r="F155" l="1"/>
  <c r="H161"/>
  <c r="F352"/>
  <c r="B144"/>
  <c r="F144" s="1"/>
  <c r="B140"/>
  <c r="H140" s="1"/>
  <c r="B6"/>
  <c r="F6" s="1"/>
  <c r="B405"/>
  <c r="F405" s="1"/>
  <c r="H27" l="1"/>
  <c r="H144"/>
  <c r="F140"/>
  <c r="H6"/>
  <c r="B139"/>
  <c r="F139" s="1"/>
  <c r="H150" l="1"/>
  <c r="H383"/>
  <c r="B351"/>
  <c r="H351" s="1"/>
  <c r="B353"/>
  <c r="F353" s="1"/>
  <c r="B288"/>
  <c r="H288" s="1"/>
  <c r="B295"/>
  <c r="H295" s="1"/>
  <c r="B299"/>
  <c r="H299" s="1"/>
  <c r="H273"/>
  <c r="H124"/>
  <c r="B396"/>
  <c r="F396" s="1"/>
  <c r="H224"/>
  <c r="B22"/>
  <c r="G5" i="4"/>
  <c r="H414" i="3"/>
  <c r="H22" l="1"/>
  <c r="F22"/>
  <c r="H396"/>
  <c r="F351"/>
  <c r="H353"/>
  <c r="F288"/>
  <c r="F299"/>
  <c r="F295"/>
  <c r="F273"/>
  <c r="F414"/>
  <c r="H237"/>
  <c r="H214"/>
  <c r="B278"/>
  <c r="B11"/>
  <c r="F11" s="1"/>
  <c r="F278" l="1"/>
  <c r="H278"/>
  <c r="H11"/>
  <c r="H240"/>
  <c r="B151"/>
  <c r="F151" s="1"/>
  <c r="H151" l="1"/>
  <c r="H81"/>
  <c r="H99"/>
  <c r="B285"/>
  <c r="H285"/>
  <c r="H415"/>
  <c r="B321"/>
  <c r="H321" s="1"/>
  <c r="B333"/>
  <c r="B334"/>
  <c r="B337"/>
  <c r="B310"/>
  <c r="H310" s="1"/>
  <c r="H176"/>
  <c r="H126"/>
  <c r="H132"/>
  <c r="B134"/>
  <c r="F134" s="1"/>
  <c r="H58"/>
  <c r="H337" l="1"/>
  <c r="F337"/>
  <c r="H134"/>
  <c r="F132"/>
  <c r="H66"/>
  <c r="F321"/>
  <c r="H379"/>
  <c r="F334"/>
  <c r="H334"/>
  <c r="F310"/>
  <c r="F415"/>
  <c r="F333"/>
  <c r="H333"/>
  <c r="H194"/>
  <c r="H111"/>
  <c r="F126"/>
  <c r="E286" l="1"/>
  <c r="E442" l="1"/>
  <c r="G33" i="4"/>
  <c r="G4"/>
  <c r="G6"/>
  <c r="G7"/>
  <c r="G8"/>
  <c r="G11"/>
  <c r="G12"/>
  <c r="G13"/>
  <c r="G14"/>
  <c r="G15"/>
  <c r="G16"/>
  <c r="G17"/>
  <c r="G24"/>
  <c r="G25"/>
  <c r="G30"/>
  <c r="G31"/>
  <c r="G32"/>
  <c r="G451" i="3" l="1"/>
  <c r="E450"/>
  <c r="E445"/>
  <c r="G3" i="4"/>
  <c r="H139" i="3" l="1"/>
  <c r="B286" l="1"/>
  <c r="E34" i="4" l="1"/>
  <c r="D34"/>
  <c r="C36" l="1"/>
  <c r="B447" i="3" s="1"/>
  <c r="E447" s="1"/>
  <c r="E36" i="4" l="1"/>
  <c r="H405" i="3" l="1"/>
  <c r="G450" l="1"/>
  <c r="G452"/>
  <c r="E443" l="1"/>
  <c r="H179" l="1"/>
  <c r="H328"/>
  <c r="H424"/>
  <c r="C424"/>
  <c r="H435"/>
  <c r="B434"/>
  <c r="F434" s="1"/>
  <c r="F441" s="1"/>
  <c r="H434" l="1"/>
  <c r="H387"/>
  <c r="F387"/>
  <c r="H355"/>
  <c r="H148" l="1"/>
  <c r="B441" l="1"/>
  <c r="B75" l="1"/>
  <c r="C75" s="1"/>
  <c r="H75" l="1"/>
  <c r="H277"/>
  <c r="B277"/>
  <c r="C277" s="1"/>
  <c r="B127" l="1"/>
  <c r="C127" s="1"/>
  <c r="F135"/>
  <c r="B135" s="1"/>
  <c r="H135" s="1"/>
  <c r="B231"/>
  <c r="H231" s="1"/>
  <c r="F280"/>
  <c r="H127" l="1"/>
  <c r="B280"/>
  <c r="H280" s="1"/>
  <c r="C231"/>
  <c r="B330"/>
  <c r="H330" s="1"/>
  <c r="C330" l="1"/>
  <c r="B365"/>
  <c r="C365" s="1"/>
  <c r="H365" l="1"/>
  <c r="B386"/>
  <c r="H386" s="1"/>
  <c r="F407"/>
  <c r="B407" s="1"/>
  <c r="F442" l="1"/>
  <c r="C386"/>
  <c r="B442" l="1"/>
  <c r="F450"/>
  <c r="B450" s="1"/>
  <c r="C450" s="1"/>
</calcChain>
</file>

<file path=xl/sharedStrings.xml><?xml version="1.0" encoding="utf-8"?>
<sst xmlns="http://schemas.openxmlformats.org/spreadsheetml/2006/main" count="898" uniqueCount="276">
  <si>
    <t>Покупатель</t>
  </si>
  <si>
    <t>Цена FCA, руб/тн с НДС</t>
  </si>
  <si>
    <t>План отгрузки, тн</t>
  </si>
  <si>
    <t>Отгружено, тн</t>
  </si>
  <si>
    <t>Условия оплаты</t>
  </si>
  <si>
    <t>предоплата</t>
  </si>
  <si>
    <t>отсрочка</t>
  </si>
  <si>
    <t>Итого щебень</t>
  </si>
  <si>
    <t>Приход денежных средств</t>
  </si>
  <si>
    <t>Выполнение, %</t>
  </si>
  <si>
    <t>тариф</t>
  </si>
  <si>
    <t>разница план/факт</t>
  </si>
  <si>
    <t>Справка по отгрузке ЩЕБНЯ с 01 по 08 августа 2017 (включительно).</t>
  </si>
  <si>
    <t>Фельс Известь ООО</t>
  </si>
  <si>
    <t xml:space="preserve">М-Неруд ООО </t>
  </si>
  <si>
    <t>СК НОВОЕ ВРЕМЯ ООО</t>
  </si>
  <si>
    <t>Новомосковский хлор ООО</t>
  </si>
  <si>
    <t>Аурум ООО</t>
  </si>
  <si>
    <t>СтройНерудТорг ООО</t>
  </si>
  <si>
    <t>Елань-Коленовский сахарный завод АО</t>
  </si>
  <si>
    <t>Дон-Строй ООО</t>
  </si>
  <si>
    <t>Трансдорстрой ООО</t>
  </si>
  <si>
    <t>Перспектива ООО</t>
  </si>
  <si>
    <t>РесурсКомплект ООО</t>
  </si>
  <si>
    <t>Щебень 5*20 M600</t>
  </si>
  <si>
    <t>Щебень 20*40 M600</t>
  </si>
  <si>
    <t>Щебень 40*70 M600</t>
  </si>
  <si>
    <t>Щебень 70*120 M600</t>
  </si>
  <si>
    <t>ОрелДорМост ООО</t>
  </si>
  <si>
    <t>Итого по Щебень 5*20 M600</t>
  </si>
  <si>
    <t>Итого по Щебень 20*40 M600</t>
  </si>
  <si>
    <t>Итого по Щебень 40*70 M600</t>
  </si>
  <si>
    <t>Итого по Щебень 70*120 M600</t>
  </si>
  <si>
    <t>ТРАНСАВТОСТРОЙ ООО</t>
  </si>
  <si>
    <t>ГрузТранс ООО</t>
  </si>
  <si>
    <t>КалугаТрансГруз ООО</t>
  </si>
  <si>
    <t>СтройКомплекс НВ ООО</t>
  </si>
  <si>
    <t>Итого</t>
  </si>
  <si>
    <t>БМЗ-управляющая компания холдинга "БМК"</t>
  </si>
  <si>
    <t>ПОДОЛЬСКАЯ МИС ООО</t>
  </si>
  <si>
    <t>в программе</t>
  </si>
  <si>
    <t>ЭНЕРГИЯ ООО</t>
  </si>
  <si>
    <t>СеверАвто ООО</t>
  </si>
  <si>
    <t>ВС Групп ООО</t>
  </si>
  <si>
    <t>Строймагистраль ООО   с 14.10.2016 г.</t>
  </si>
  <si>
    <t>СтройТрансРесурс-71  ООО</t>
  </si>
  <si>
    <t>₽</t>
  </si>
  <si>
    <t>ДЕТАКС ООО</t>
  </si>
  <si>
    <t>Щекиноазот ОАО</t>
  </si>
  <si>
    <t>АКОНТ-71 ООО</t>
  </si>
  <si>
    <t>ТрансЛоджикГрупп ООО</t>
  </si>
  <si>
    <t>ЯЗСМ ООО</t>
  </si>
  <si>
    <t>ДОРСТРОЙ-71  ООО</t>
  </si>
  <si>
    <t>ТД НЕРУДЛОГИСТИКА ООО</t>
  </si>
  <si>
    <t>Нерудные материалы ООО</t>
  </si>
  <si>
    <t>ОМЗ-Спецсталь ООО</t>
  </si>
  <si>
    <t>АльянсТрейд ООО</t>
  </si>
  <si>
    <t>план-прогноз, т</t>
  </si>
  <si>
    <t>План прихода денежных средств</t>
  </si>
  <si>
    <t>Косогорский металлургический завод ПАО</t>
  </si>
  <si>
    <t>Трейд Капитал Плюс ООО</t>
  </si>
  <si>
    <t>НерудПромСнаб ООО</t>
  </si>
  <si>
    <t>Бежицкая  сталь ПО АО</t>
  </si>
  <si>
    <t>ВВН-Сервис ООО</t>
  </si>
  <si>
    <t>ИП Марунич Алексей Валериевич</t>
  </si>
  <si>
    <t>ТЕХИНКОМ ООО</t>
  </si>
  <si>
    <t>$, EUR</t>
  </si>
  <si>
    <t>ВЕЖЛИВЫЕ ЛЮДИ ООО</t>
  </si>
  <si>
    <t>курс</t>
  </si>
  <si>
    <t>НЕРУДГРУПП71 ООО</t>
  </si>
  <si>
    <t>ТД УКРПРОМТРЕЙД ООО</t>
  </si>
  <si>
    <t>Неруд-М ООО</t>
  </si>
  <si>
    <t>ТрансСтройКом ООО</t>
  </si>
  <si>
    <t>в рублях</t>
  </si>
  <si>
    <t>ЩЕБЕНЬТРЕСТ ООО</t>
  </si>
  <si>
    <t>Цена FCA, руб/тн без НДС</t>
  </si>
  <si>
    <t>Стоимость доставки</t>
  </si>
  <si>
    <t>Цена с доставкой</t>
  </si>
  <si>
    <t>Сумма, руб без НДС</t>
  </si>
  <si>
    <t>Факт (в т.ч. наличные)</t>
  </si>
  <si>
    <t>ТЗТБ ЗАО</t>
  </si>
  <si>
    <t>М-Строй ООО</t>
  </si>
  <si>
    <t>ТДКС ООО</t>
  </si>
  <si>
    <t>Новокраматорский машиностроительный завод ЧАО</t>
  </si>
  <si>
    <t>РесурсНерудСбыт ООО</t>
  </si>
  <si>
    <t>Ступинское ДРСУ ОАО</t>
  </si>
  <si>
    <t>Сукремльский чугунолитейный завод АО</t>
  </si>
  <si>
    <t>Филиал Любимовский  ООО   КСП</t>
  </si>
  <si>
    <t>Алексинский керамзитовый завод ООО</t>
  </si>
  <si>
    <t>Альфа ООО</t>
  </si>
  <si>
    <t>КФХ "Элитные семена"</t>
  </si>
  <si>
    <t>Региондорстрой АО</t>
  </si>
  <si>
    <t>АТРОН ООО</t>
  </si>
  <si>
    <t>Антей ООО</t>
  </si>
  <si>
    <t>ИП Монтова Валентина Алексеевна</t>
  </si>
  <si>
    <t>Филиал Золотухинский  ООО   КСП</t>
  </si>
  <si>
    <t>Щебень 50*120 M600</t>
  </si>
  <si>
    <t>Итого по Щебень 50*120 M600</t>
  </si>
  <si>
    <t>ВИКТОРИЯ ООО</t>
  </si>
  <si>
    <t>Редемтор ООО</t>
  </si>
  <si>
    <t>ТОРГСЕРВИС 71 ООО</t>
  </si>
  <si>
    <t>РЫНОК</t>
  </si>
  <si>
    <t>Итого по РФ</t>
  </si>
  <si>
    <t>Итого по Беларуси</t>
  </si>
  <si>
    <t>Итого по Украине</t>
  </si>
  <si>
    <t>Доля от общего  объема, %</t>
  </si>
  <si>
    <t>ГеоСтройПроектЭкспертиза ООО</t>
  </si>
  <si>
    <t>ГК ЖБИ-Строй ООО</t>
  </si>
  <si>
    <t>ТЗСМ ООО</t>
  </si>
  <si>
    <t>КРИСТАЛЛ АО</t>
  </si>
  <si>
    <t>СИБТРАНССТРОЙ ООО</t>
  </si>
  <si>
    <t>Эверест71 ООО</t>
  </si>
  <si>
    <t>ИП Гусев Андрей Игоревич</t>
  </si>
  <si>
    <t>Гермес+ ООО</t>
  </si>
  <si>
    <t>Управление недвижимостью ООО</t>
  </si>
  <si>
    <t>Запорожсталь ПАО</t>
  </si>
  <si>
    <t>Сахарный комбинат Отрадинский АО</t>
  </si>
  <si>
    <t>СпецАвтоГруз ООО</t>
  </si>
  <si>
    <t>Брянскавтодор АО</t>
  </si>
  <si>
    <t>НЕРУД ИНВЕСТ ООО</t>
  </si>
  <si>
    <t>СК ЭлписСтрой ООО</t>
  </si>
  <si>
    <t>Заваруева Анастасия Дмитриевна ИП</t>
  </si>
  <si>
    <t>СтройСервис+  ООО</t>
  </si>
  <si>
    <t>КАЛИТА ООО</t>
  </si>
  <si>
    <t>Универсалтехком ООО</t>
  </si>
  <si>
    <t>Строительная фирма Новый Дом ООО</t>
  </si>
  <si>
    <t>Теткинский сахарный завод ООО</t>
  </si>
  <si>
    <t>Карапиря Савелий Георгиевич ИП</t>
  </si>
  <si>
    <t>Земетчинский сахарный завод АО</t>
  </si>
  <si>
    <t>М-ГРУПП ООО</t>
  </si>
  <si>
    <t>ЭлитСпецТех ООО</t>
  </si>
  <si>
    <t>ТАИЗ ООО</t>
  </si>
  <si>
    <t>СК Центр ООО</t>
  </si>
  <si>
    <t>СтройАрсенал ООО</t>
  </si>
  <si>
    <t>ДОЛОМИТ71 ООО</t>
  </si>
  <si>
    <t>Графский А.В. ИП</t>
  </si>
  <si>
    <t>Центр Сыпучих Материалов  ООО</t>
  </si>
  <si>
    <t>Строительная Компания Русь ООО</t>
  </si>
  <si>
    <t>БИЗНЕС-ВЕКТОР ООО</t>
  </si>
  <si>
    <t>ЦДС-ТОРГОВЫЙ ДОМ ООО</t>
  </si>
  <si>
    <t>ИП Сапов Сергей Николаевич</t>
  </si>
  <si>
    <t>ТРАНССЕРВИСКОНСТРУКЦИЯ  ООО</t>
  </si>
  <si>
    <t>ИП Арутюнян Арутик Антонович</t>
  </si>
  <si>
    <t>Стройтрейдинг ООО</t>
  </si>
  <si>
    <t>Войсковая часть 51858</t>
  </si>
  <si>
    <t>ТРУБОПРОВОДСТРОЙ ООО</t>
  </si>
  <si>
    <t>Щебень 30*60 M600</t>
  </si>
  <si>
    <t>Итого по Щебень 30*60 M600</t>
  </si>
  <si>
    <t>Дмитротарановский сахарный завод ООО</t>
  </si>
  <si>
    <t>ИнДорТех ООО</t>
  </si>
  <si>
    <t>КвазарСтрой ООО</t>
  </si>
  <si>
    <t>СМК СтройПлит ООО</t>
  </si>
  <si>
    <t>Строительные краны</t>
  </si>
  <si>
    <t>ДСУ-2 ООО</t>
  </si>
  <si>
    <t>ЛИДЕРТРАНССТРОЙ ООО</t>
  </si>
  <si>
    <t>Светлогорский ЦКК ОАО</t>
  </si>
  <si>
    <t>БЕТОН ТРАНС СЕРВИС ООО</t>
  </si>
  <si>
    <t>Металлургспецмаш ООО</t>
  </si>
  <si>
    <t>Мотус ООО</t>
  </si>
  <si>
    <t>ТулНеруд ООО</t>
  </si>
  <si>
    <t>ТД ЕВРОСТРОЙ ООО</t>
  </si>
  <si>
    <t>АТП ООО</t>
  </si>
  <si>
    <t>ГлавСнаб ООО</t>
  </si>
  <si>
    <t>ДИ ФЕРРО ООО с апреля 2020</t>
  </si>
  <si>
    <t>Дмитриев Дмитрий Александрович ИП</t>
  </si>
  <si>
    <t>СтройМастер ООО</t>
  </si>
  <si>
    <t>НЕДРА исследовательский институт ООО</t>
  </si>
  <si>
    <t>ВВН-Сервис плюс ООО</t>
  </si>
  <si>
    <t>ГРАНИТ71 ООО</t>
  </si>
  <si>
    <t>МонолитРесурс ООО</t>
  </si>
  <si>
    <t>ДОРТЕХСТРОЙ ООО  М</t>
  </si>
  <si>
    <t>ГалоПолимер Кирово-Чепецк ООО</t>
  </si>
  <si>
    <t>БарБет ООО</t>
  </si>
  <si>
    <t>ИП Саушкина Александра Владимировна</t>
  </si>
  <si>
    <t>СпецТехСтрой ООО</t>
  </si>
  <si>
    <t>ГригСтройГрупп ООО</t>
  </si>
  <si>
    <t>ЛТК-ТРЕЙД ООО</t>
  </si>
  <si>
    <t>Молочные продукты ООО</t>
  </si>
  <si>
    <t>Щекинская городская электросеть ОАО</t>
  </si>
  <si>
    <t>ЛИДЕР ООО</t>
  </si>
  <si>
    <t>ТулаНеруд ООО</t>
  </si>
  <si>
    <t>Промстройдеталь ПКП ООО</t>
  </si>
  <si>
    <t>КОМПАНИЯ ВИС ГРУПП ПЛЮС ООО</t>
  </si>
  <si>
    <t>ТрансЛоджикГруп ООО</t>
  </si>
  <si>
    <t>СПУ ООО</t>
  </si>
  <si>
    <t>ЮгЩебень ООО</t>
  </si>
  <si>
    <t>КАРГО МАН ООО</t>
  </si>
  <si>
    <t>Васильев В.В.</t>
  </si>
  <si>
    <t>СтройСервис ООО</t>
  </si>
  <si>
    <t>ХаппиСтрой ООО</t>
  </si>
  <si>
    <t>Компания ДВ-Строй ООО</t>
  </si>
  <si>
    <t>НЕГОЦИАНТЪ ООО</t>
  </si>
  <si>
    <t>БРИТЕКС ООО</t>
  </si>
  <si>
    <t>ИНТЕКО ООО</t>
  </si>
  <si>
    <t>Контур ООО</t>
  </si>
  <si>
    <t>Региональный Фонд  ЭКОразвитие</t>
  </si>
  <si>
    <t>Ресурс ООО</t>
  </si>
  <si>
    <t>ДорЭлит ООО</t>
  </si>
  <si>
    <t>Тулпромстрой-10 ООО</t>
  </si>
  <si>
    <t>ГОТЕК-трейд ООО</t>
  </si>
  <si>
    <t>Металлопрокатный завод ООО</t>
  </si>
  <si>
    <t>Молочный дом ООО</t>
  </si>
  <si>
    <t>ПРОМСАХАР ООО</t>
  </si>
  <si>
    <t>Сибирь ООО</t>
  </si>
  <si>
    <t>Компания Виталан ООО</t>
  </si>
  <si>
    <t>ТД Мосрегионснаб ООО</t>
  </si>
  <si>
    <t>ТСН Энергетик-4</t>
  </si>
  <si>
    <t>СтройСервис+ ООО</t>
  </si>
  <si>
    <t>БуллЛайнЛогистик ООО</t>
  </si>
  <si>
    <t>ССР ООО</t>
  </si>
  <si>
    <t>ИП Изотов М.В.</t>
  </si>
  <si>
    <t>Аврора ООО</t>
  </si>
  <si>
    <t>СНТ Ратник</t>
  </si>
  <si>
    <t>НЕРУДЛОГИСТИК ООО</t>
  </si>
  <si>
    <t>ДСК-5 ООО</t>
  </si>
  <si>
    <t>РОСТДОРСТРОЙ ООО</t>
  </si>
  <si>
    <t>ИП гусев Андрей Игоревич</t>
  </si>
  <si>
    <t>СК ДОРСТРОЙ-2000 ООО</t>
  </si>
  <si>
    <t>Стройуниверсал-плюс ООО</t>
  </si>
  <si>
    <t>Кристалл ООО</t>
  </si>
  <si>
    <t>СтройТехЛидер ООО</t>
  </si>
  <si>
    <t>Волков М.В.</t>
  </si>
  <si>
    <t>МАБ-ЕвроСтрой ООО</t>
  </si>
  <si>
    <t>ЭКСЕЛИКСИ ООО</t>
  </si>
  <si>
    <t>ББ-Групп ООО</t>
  </si>
  <si>
    <t>Жабинковский сахарный завод ОАО</t>
  </si>
  <si>
    <t>Свежий ветер ООО</t>
  </si>
  <si>
    <t>Комаревка -7 ТСН СНТ</t>
  </si>
  <si>
    <t>СНТ МОТО</t>
  </si>
  <si>
    <t>С-ВИЗИТ-ГРУПП ООО</t>
  </si>
  <si>
    <t>СНТ "Комаревка-ТОЗ"</t>
  </si>
  <si>
    <t>ЕВРОГАРАНТСТРОЙ ООО</t>
  </si>
  <si>
    <t>Ильичев А.М.</t>
  </si>
  <si>
    <t>ИП Дмитриев Дмитрий Александрович</t>
  </si>
  <si>
    <t>ЭЛЬ-ДОРСТРОЙСЕРВИС ООО</t>
  </si>
  <si>
    <t>ТрансРесурс ООО</t>
  </si>
  <si>
    <t>ГСК ООО</t>
  </si>
  <si>
    <t>ТСК ООО</t>
  </si>
  <si>
    <t>НЕРУД-ЭКСПЕРТ ООО</t>
  </si>
  <si>
    <t>СК Групп ООО</t>
  </si>
  <si>
    <t>СНТ Мыза-3</t>
  </si>
  <si>
    <t>СНТ РОЖДЕСТВО</t>
  </si>
  <si>
    <t>Трасса ООО</t>
  </si>
  <si>
    <t>И-МАСД ООО</t>
  </si>
  <si>
    <t>Ион ООО</t>
  </si>
  <si>
    <t>СТРОЙСЕРВИС ООО</t>
  </si>
  <si>
    <t>ГазСтрой ООО</t>
  </si>
  <si>
    <t>НерудИнвест ООО</t>
  </si>
  <si>
    <t>Аурум ООО с 13.07.2020</t>
  </si>
  <si>
    <t>СимСтрой ООО</t>
  </si>
  <si>
    <t>Козырев Павел Алексеевич</t>
  </si>
  <si>
    <t>Прокопало А.</t>
  </si>
  <si>
    <t>ТИСС ООО</t>
  </si>
  <si>
    <t>Слуцкий сахарорафинадный комбинат ОАО</t>
  </si>
  <si>
    <t>Реализация продукции ВБ 01.07. по 31.07.2020г.</t>
  </si>
  <si>
    <t>БАУХАУС ООО</t>
  </si>
  <si>
    <t>Егнышевские сады ООО</t>
  </si>
  <si>
    <t>ИП Каюмов Ренат Фатехович</t>
  </si>
  <si>
    <t>Кристалл ООО   348</t>
  </si>
  <si>
    <t>Лобышкин Евгений Львович</t>
  </si>
  <si>
    <t>НЕРУДСТРОЙ ООО</t>
  </si>
  <si>
    <t>ПАРУС ООО</t>
  </si>
  <si>
    <t>Садовый питомник Кутепово ООО</t>
  </si>
  <si>
    <t>Строй-Альянс ООО</t>
  </si>
  <si>
    <t>Техностройсервис ООО</t>
  </si>
  <si>
    <t>Тулжилхоз ООО</t>
  </si>
  <si>
    <t>Тульский кирпичный завод ООО</t>
  </si>
  <si>
    <t>Филиал РЖД ОАО Московская железная дорога</t>
  </si>
  <si>
    <t>Бетон-транс сервис ООО</t>
  </si>
  <si>
    <t>ПКФ ГОЛЬФ ООО</t>
  </si>
  <si>
    <t>ТД Панель РУ ООО</t>
  </si>
  <si>
    <t>ФАВОРИТ ООО</t>
  </si>
  <si>
    <t>ГС ГРУПП ООО</t>
  </si>
  <si>
    <t>СКИП ООО</t>
  </si>
  <si>
    <t>УРАРТУ 71 ООО</t>
  </si>
  <si>
    <t>Скидельский сахарный комбинат ООО</t>
  </si>
</sst>
</file>

<file path=xl/styles.xml><?xml version="1.0" encoding="utf-8"?>
<styleSheet xmlns="http://schemas.openxmlformats.org/spreadsheetml/2006/main">
  <numFmts count="5">
    <numFmt numFmtId="164" formatCode="_-* #,##0.00_р_._-;\-* #,##0.00_р_._-;_-* &quot;-&quot;??_р_._-;_-@_-"/>
    <numFmt numFmtId="165" formatCode="_-* #,##0.00_ _р_у_б_._-;\-* #,##0.00_ _р_у_б_._-;_-* &quot;-&quot;??_ _р_у_б_._-;_-@_-"/>
    <numFmt numFmtId="166" formatCode="#,##0.000"/>
    <numFmt numFmtId="167" formatCode="0.000"/>
    <numFmt numFmtId="168" formatCode="#,##0\ &quot;₽&quot;"/>
  </numFmts>
  <fonts count="25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4"/>
      <name val="Arial Cyr"/>
      <charset val="204"/>
    </font>
    <font>
      <b/>
      <sz val="11"/>
      <name val="Calibri"/>
      <family val="2"/>
      <charset val="204"/>
    </font>
    <font>
      <sz val="8"/>
      <name val="Arial"/>
      <family val="2"/>
    </font>
    <font>
      <b/>
      <sz val="11"/>
      <color theme="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b/>
      <sz val="11"/>
      <color indexed="8"/>
      <name val="Calibri"/>
      <family val="2"/>
      <charset val="204"/>
      <scheme val="minor"/>
    </font>
    <font>
      <i/>
      <sz val="15"/>
      <color theme="1"/>
      <name val="Calibri"/>
      <family val="2"/>
      <charset val="204"/>
      <scheme val="minor"/>
    </font>
    <font>
      <i/>
      <sz val="20"/>
      <color theme="1"/>
      <name val="Calibri"/>
      <family val="2"/>
      <charset val="204"/>
      <scheme val="minor"/>
    </font>
    <font>
      <b/>
      <sz val="12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i/>
      <sz val="20"/>
      <color rgb="FF0070C0"/>
      <name val="Arial Cyr"/>
      <charset val="204"/>
    </font>
    <font>
      <b/>
      <i/>
      <sz val="17"/>
      <color rgb="FF0070C0"/>
      <name val="Calibri"/>
      <family val="2"/>
      <charset val="204"/>
      <scheme val="minor"/>
    </font>
    <font>
      <b/>
      <sz val="12"/>
      <color rgb="FFFF0000"/>
      <name val="Calibri"/>
      <family val="2"/>
      <charset val="204"/>
      <scheme val="minor"/>
    </font>
    <font>
      <b/>
      <sz val="12"/>
      <color rgb="FF0070C0"/>
      <name val="Calibri"/>
      <family val="2"/>
      <charset val="204"/>
      <scheme val="minor"/>
    </font>
    <font>
      <sz val="8"/>
      <name val="Arial"/>
      <family val="2"/>
      <charset val="204"/>
    </font>
    <font>
      <sz val="8"/>
      <color indexed="8"/>
      <name val="Arial"/>
      <family val="2"/>
      <charset val="204"/>
    </font>
    <font>
      <sz val="8"/>
      <color theme="1"/>
      <name val="Arial"/>
      <family val="2"/>
      <charset val="204"/>
    </font>
    <font>
      <sz val="11"/>
      <color theme="1"/>
      <name val="Arial"/>
      <family val="2"/>
      <charset val="204"/>
    </font>
    <font>
      <b/>
      <sz val="11"/>
      <color theme="1"/>
      <name val="Arial"/>
      <family val="2"/>
      <charset val="204"/>
    </font>
    <font>
      <b/>
      <sz val="8"/>
      <color indexed="59"/>
      <name val="Arial"/>
      <family val="2"/>
    </font>
    <font>
      <sz val="8"/>
      <color indexed="8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DDFA"/>
        <bgColor indexed="64"/>
      </patternFill>
    </fill>
    <fill>
      <patternFill patternType="solid">
        <fgColor rgb="FFFF9BF1"/>
        <bgColor indexed="64"/>
      </patternFill>
    </fill>
  </fills>
  <borders count="5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0"/>
      </left>
      <right style="thin">
        <color indexed="60"/>
      </right>
      <top style="thin">
        <color indexed="60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0"/>
      </right>
      <top style="medium">
        <color indexed="64"/>
      </top>
      <bottom style="thin">
        <color indexed="60"/>
      </bottom>
      <diagonal/>
    </border>
    <border>
      <left style="medium">
        <color indexed="64"/>
      </left>
      <right style="thin">
        <color indexed="60"/>
      </right>
      <top style="thin">
        <color indexed="60"/>
      </top>
      <bottom style="thin">
        <color indexed="60"/>
      </bottom>
      <diagonal/>
    </border>
    <border>
      <left/>
      <right style="thin">
        <color indexed="64"/>
      </right>
      <top style="thin">
        <color indexed="60"/>
      </top>
      <bottom style="thin">
        <color indexed="64"/>
      </bottom>
      <diagonal/>
    </border>
  </borders>
  <cellStyleXfs count="9">
    <xf numFmtId="0" fontId="0" fillId="0" borderId="0"/>
    <xf numFmtId="164" fontId="1" fillId="0" borderId="0" applyFont="0" applyFill="0" applyBorder="0" applyAlignment="0" applyProtection="0"/>
    <xf numFmtId="0" fontId="4" fillId="0" borderId="0"/>
    <xf numFmtId="0" fontId="4" fillId="0" borderId="0"/>
    <xf numFmtId="0" fontId="18" fillId="0" borderId="0"/>
    <xf numFmtId="0" fontId="4" fillId="0" borderId="0"/>
    <xf numFmtId="0" fontId="4" fillId="0" borderId="0"/>
    <xf numFmtId="0" fontId="4" fillId="0" borderId="0"/>
    <xf numFmtId="0" fontId="4" fillId="0" borderId="0"/>
  </cellStyleXfs>
  <cellXfs count="234">
    <xf numFmtId="0" fontId="0" fillId="0" borderId="0" xfId="0"/>
    <xf numFmtId="0" fontId="0" fillId="2" borderId="0" xfId="0" applyFill="1"/>
    <xf numFmtId="49" fontId="6" fillId="2" borderId="7" xfId="0" applyNumberFormat="1" applyFont="1" applyFill="1" applyBorder="1" applyAlignment="1">
      <alignment horizontal="center" vertical="center" wrapText="1"/>
    </xf>
    <xf numFmtId="49" fontId="6" fillId="2" borderId="8" xfId="0" applyNumberFormat="1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3" fontId="6" fillId="2" borderId="7" xfId="0" applyNumberFormat="1" applyFont="1" applyFill="1" applyBorder="1" applyAlignment="1">
      <alignment horizontal="center" vertical="center"/>
    </xf>
    <xf numFmtId="3" fontId="6" fillId="2" borderId="7" xfId="1" applyNumberFormat="1" applyFont="1" applyFill="1" applyBorder="1" applyAlignment="1">
      <alignment horizontal="center"/>
    </xf>
    <xf numFmtId="49" fontId="6" fillId="2" borderId="8" xfId="0" applyNumberFormat="1" applyFont="1" applyFill="1" applyBorder="1" applyAlignment="1">
      <alignment horizontal="center" vertical="center"/>
    </xf>
    <xf numFmtId="4" fontId="6" fillId="2" borderId="7" xfId="0" applyNumberFormat="1" applyFont="1" applyFill="1" applyBorder="1" applyAlignment="1">
      <alignment horizontal="center" vertical="center"/>
    </xf>
    <xf numFmtId="4" fontId="6" fillId="2" borderId="9" xfId="0" applyNumberFormat="1" applyFont="1" applyFill="1" applyBorder="1" applyAlignment="1">
      <alignment horizontal="center" vertical="center"/>
    </xf>
    <xf numFmtId="49" fontId="6" fillId="2" borderId="10" xfId="0" applyNumberFormat="1" applyFont="1" applyFill="1" applyBorder="1" applyAlignment="1">
      <alignment horizontal="center" vertical="center"/>
    </xf>
    <xf numFmtId="4" fontId="5" fillId="0" borderId="7" xfId="0" applyNumberFormat="1" applyFont="1" applyFill="1" applyBorder="1" applyAlignment="1">
      <alignment horizontal="center" vertical="center"/>
    </xf>
    <xf numFmtId="0" fontId="5" fillId="0" borderId="7" xfId="0" applyFont="1" applyFill="1" applyBorder="1" applyAlignment="1">
      <alignment horizontal="center" vertical="center" wrapText="1"/>
    </xf>
    <xf numFmtId="2" fontId="5" fillId="2" borderId="9" xfId="0" applyNumberFormat="1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/>
    </xf>
    <xf numFmtId="2" fontId="5" fillId="2" borderId="7" xfId="0" applyNumberFormat="1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/>
    </xf>
    <xf numFmtId="49" fontId="5" fillId="2" borderId="5" xfId="0" applyNumberFormat="1" applyFont="1" applyFill="1" applyBorder="1" applyAlignment="1">
      <alignment vertical="center" wrapText="1"/>
    </xf>
    <xf numFmtId="0" fontId="0" fillId="0" borderId="0" xfId="0"/>
    <xf numFmtId="0" fontId="5" fillId="2" borderId="12" xfId="0" applyFont="1" applyFill="1" applyBorder="1" applyAlignment="1">
      <alignment horizontal="center" vertical="center" wrapText="1"/>
    </xf>
    <xf numFmtId="49" fontId="5" fillId="2" borderId="15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2" fontId="8" fillId="4" borderId="7" xfId="3" applyNumberFormat="1" applyFont="1" applyFill="1" applyBorder="1" applyAlignment="1">
      <alignment horizontal="center" vertical="top" wrapText="1"/>
    </xf>
    <xf numFmtId="0" fontId="9" fillId="0" borderId="0" xfId="0" applyFont="1"/>
    <xf numFmtId="0" fontId="10" fillId="0" borderId="0" xfId="0" applyFont="1"/>
    <xf numFmtId="0" fontId="12" fillId="0" borderId="0" xfId="0" applyFont="1"/>
    <xf numFmtId="2" fontId="13" fillId="2" borderId="12" xfId="0" applyNumberFormat="1" applyFont="1" applyFill="1" applyBorder="1" applyAlignment="1">
      <alignment horizontal="center" vertical="center"/>
    </xf>
    <xf numFmtId="3" fontId="11" fillId="2" borderId="12" xfId="0" applyNumberFormat="1" applyFont="1" applyFill="1" applyBorder="1" applyAlignment="1">
      <alignment horizontal="center" vertical="center"/>
    </xf>
    <xf numFmtId="49" fontId="11" fillId="2" borderId="15" xfId="0" applyNumberFormat="1" applyFont="1" applyFill="1" applyBorder="1" applyAlignment="1">
      <alignment horizontal="center" vertical="center"/>
    </xf>
    <xf numFmtId="0" fontId="13" fillId="2" borderId="12" xfId="0" applyFont="1" applyFill="1" applyBorder="1" applyAlignment="1">
      <alignment horizontal="center" vertical="center"/>
    </xf>
    <xf numFmtId="3" fontId="11" fillId="2" borderId="12" xfId="1" applyNumberFormat="1" applyFont="1" applyFill="1" applyBorder="1" applyAlignment="1">
      <alignment horizontal="center" vertical="center"/>
    </xf>
    <xf numFmtId="0" fontId="12" fillId="0" borderId="0" xfId="0" applyFont="1" applyAlignment="1">
      <alignment vertical="center"/>
    </xf>
    <xf numFmtId="2" fontId="5" fillId="2" borderId="22" xfId="0" applyNumberFormat="1" applyFont="1" applyFill="1" applyBorder="1" applyAlignment="1">
      <alignment horizontal="center" vertical="center"/>
    </xf>
    <xf numFmtId="9" fontId="6" fillId="2" borderId="22" xfId="1" applyNumberFormat="1" applyFont="1" applyFill="1" applyBorder="1" applyAlignment="1">
      <alignment horizontal="center" vertical="center"/>
    </xf>
    <xf numFmtId="165" fontId="6" fillId="2" borderId="23" xfId="1" applyNumberFormat="1" applyFont="1" applyFill="1" applyBorder="1" applyAlignment="1">
      <alignment horizontal="center" vertical="center"/>
    </xf>
    <xf numFmtId="2" fontId="5" fillId="2" borderId="0" xfId="0" applyNumberFormat="1" applyFont="1" applyFill="1" applyBorder="1" applyAlignment="1">
      <alignment horizontal="center" vertical="center"/>
    </xf>
    <xf numFmtId="3" fontId="6" fillId="2" borderId="9" xfId="0" applyNumberFormat="1" applyFont="1" applyFill="1" applyBorder="1" applyAlignment="1">
      <alignment horizontal="center" vertical="center"/>
    </xf>
    <xf numFmtId="3" fontId="6" fillId="2" borderId="9" xfId="1" applyNumberFormat="1" applyFont="1" applyFill="1" applyBorder="1" applyAlignment="1">
      <alignment horizontal="center"/>
    </xf>
    <xf numFmtId="4" fontId="11" fillId="3" borderId="19" xfId="0" applyNumberFormat="1" applyFont="1" applyFill="1" applyBorder="1" applyAlignment="1">
      <alignment horizontal="center" vertical="center"/>
    </xf>
    <xf numFmtId="166" fontId="11" fillId="3" borderId="19" xfId="0" applyNumberFormat="1" applyFont="1" applyFill="1" applyBorder="1" applyAlignment="1">
      <alignment horizontal="center" vertical="center"/>
    </xf>
    <xf numFmtId="49" fontId="11" fillId="3" borderId="20" xfId="0" applyNumberFormat="1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left" vertical="center" wrapText="1" indent="2"/>
    </xf>
    <xf numFmtId="2" fontId="11" fillId="5" borderId="19" xfId="0" applyNumberFormat="1" applyFont="1" applyFill="1" applyBorder="1" applyAlignment="1">
      <alignment horizontal="center" vertical="center"/>
    </xf>
    <xf numFmtId="4" fontId="11" fillId="5" borderId="19" xfId="0" applyNumberFormat="1" applyFont="1" applyFill="1" applyBorder="1" applyAlignment="1">
      <alignment horizontal="center" vertical="center"/>
    </xf>
    <xf numFmtId="166" fontId="11" fillId="5" borderId="19" xfId="0" applyNumberFormat="1" applyFont="1" applyFill="1" applyBorder="1" applyAlignment="1">
      <alignment horizontal="center" vertical="center"/>
    </xf>
    <xf numFmtId="0" fontId="11" fillId="5" borderId="19" xfId="0" applyFont="1" applyFill="1" applyBorder="1" applyAlignment="1">
      <alignment horizontal="center" vertical="center" wrapText="1"/>
    </xf>
    <xf numFmtId="49" fontId="11" fillId="5" borderId="20" xfId="0" applyNumberFormat="1" applyFont="1" applyFill="1" applyBorder="1" applyAlignment="1">
      <alignment horizontal="center" vertical="center"/>
    </xf>
    <xf numFmtId="14" fontId="0" fillId="0" borderId="0" xfId="0" applyNumberFormat="1"/>
    <xf numFmtId="4" fontId="0" fillId="0" borderId="0" xfId="0" applyNumberFormat="1"/>
    <xf numFmtId="0" fontId="8" fillId="4" borderId="18" xfId="3" applyNumberFormat="1" applyFont="1" applyFill="1" applyBorder="1" applyAlignment="1">
      <alignment horizontal="left" vertical="center" wrapText="1"/>
    </xf>
    <xf numFmtId="2" fontId="8" fillId="4" borderId="19" xfId="3" applyNumberFormat="1" applyFont="1" applyFill="1" applyBorder="1" applyAlignment="1">
      <alignment horizontal="center" vertical="center" wrapText="1"/>
    </xf>
    <xf numFmtId="0" fontId="5" fillId="0" borderId="19" xfId="0" applyFont="1" applyFill="1" applyBorder="1" applyAlignment="1">
      <alignment horizontal="center" vertical="center" wrapText="1"/>
    </xf>
    <xf numFmtId="0" fontId="6" fillId="2" borderId="19" xfId="0" applyFont="1" applyFill="1" applyBorder="1" applyAlignment="1">
      <alignment horizontal="center" vertical="center" wrapText="1"/>
    </xf>
    <xf numFmtId="2" fontId="6" fillId="2" borderId="19" xfId="0" applyNumberFormat="1" applyFont="1" applyFill="1" applyBorder="1" applyAlignment="1">
      <alignment horizontal="center" vertical="center" wrapText="1"/>
    </xf>
    <xf numFmtId="0" fontId="6" fillId="2" borderId="20" xfId="0" applyFont="1" applyFill="1" applyBorder="1" applyAlignment="1">
      <alignment horizontal="center" vertical="center" wrapText="1"/>
    </xf>
    <xf numFmtId="4" fontId="6" fillId="2" borderId="7" xfId="0" applyNumberFormat="1" applyFont="1" applyFill="1" applyBorder="1" applyAlignment="1">
      <alignment horizontal="left" vertical="center" indent="3"/>
    </xf>
    <xf numFmtId="2" fontId="8" fillId="4" borderId="7" xfId="5" applyNumberFormat="1" applyFont="1" applyFill="1" applyBorder="1" applyAlignment="1">
      <alignment horizontal="center" vertical="top" wrapText="1"/>
    </xf>
    <xf numFmtId="0" fontId="8" fillId="4" borderId="27" xfId="5" applyNumberFormat="1" applyFont="1" applyFill="1" applyBorder="1" applyAlignment="1">
      <alignment vertical="top" wrapText="1"/>
    </xf>
    <xf numFmtId="2" fontId="8" fillId="4" borderId="7" xfId="5" applyNumberFormat="1" applyFont="1" applyFill="1" applyBorder="1" applyAlignment="1">
      <alignment horizontal="center" vertical="center" wrapText="1"/>
    </xf>
    <xf numFmtId="4" fontId="6" fillId="2" borderId="28" xfId="0" applyNumberFormat="1" applyFont="1" applyFill="1" applyBorder="1" applyAlignment="1">
      <alignment horizontal="center" vertical="center"/>
    </xf>
    <xf numFmtId="0" fontId="8" fillId="4" borderId="27" xfId="5" applyNumberFormat="1" applyFont="1" applyFill="1" applyBorder="1" applyAlignment="1">
      <alignment vertical="center" wrapText="1"/>
    </xf>
    <xf numFmtId="0" fontId="6" fillId="2" borderId="0" xfId="0" applyFont="1" applyFill="1" applyBorder="1" applyAlignment="1">
      <alignment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8" fillId="4" borderId="31" xfId="5" applyNumberFormat="1" applyFont="1" applyFill="1" applyBorder="1" applyAlignment="1">
      <alignment vertical="top" wrapText="1"/>
    </xf>
    <xf numFmtId="49" fontId="6" fillId="2" borderId="32" xfId="0" applyNumberFormat="1" applyFont="1" applyFill="1" applyBorder="1" applyAlignment="1">
      <alignment horizontal="center" vertical="center"/>
    </xf>
    <xf numFmtId="0" fontId="8" fillId="4" borderId="17" xfId="5" applyNumberFormat="1" applyFont="1" applyFill="1" applyBorder="1" applyAlignment="1">
      <alignment vertical="top" wrapText="1"/>
    </xf>
    <xf numFmtId="2" fontId="8" fillId="4" borderId="9" xfId="5" applyNumberFormat="1" applyFont="1" applyFill="1" applyBorder="1" applyAlignment="1">
      <alignment horizontal="center" vertical="top" wrapText="1"/>
    </xf>
    <xf numFmtId="4" fontId="6" fillId="2" borderId="9" xfId="0" applyNumberFormat="1" applyFont="1" applyFill="1" applyBorder="1" applyAlignment="1">
      <alignment horizontal="left" vertical="center" indent="3"/>
    </xf>
    <xf numFmtId="4" fontId="6" fillId="2" borderId="6" xfId="0" applyNumberFormat="1" applyFont="1" applyFill="1" applyBorder="1" applyAlignment="1">
      <alignment horizontal="center" vertical="center"/>
    </xf>
    <xf numFmtId="49" fontId="6" fillId="2" borderId="26" xfId="0" applyNumberFormat="1" applyFont="1" applyFill="1" applyBorder="1" applyAlignment="1">
      <alignment horizontal="center" vertical="center"/>
    </xf>
    <xf numFmtId="0" fontId="6" fillId="7" borderId="17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left" vertical="center" wrapText="1" indent="2"/>
    </xf>
    <xf numFmtId="2" fontId="8" fillId="4" borderId="9" xfId="3" applyNumberFormat="1" applyFont="1" applyFill="1" applyBorder="1" applyAlignment="1">
      <alignment horizontal="center" vertical="top" wrapText="1"/>
    </xf>
    <xf numFmtId="168" fontId="16" fillId="0" borderId="11" xfId="0" applyNumberFormat="1" applyFont="1" applyFill="1" applyBorder="1" applyAlignment="1">
      <alignment horizontal="center" vertical="center" wrapText="1"/>
    </xf>
    <xf numFmtId="0" fontId="8" fillId="4" borderId="17" xfId="5" applyNumberFormat="1" applyFont="1" applyFill="1" applyBorder="1" applyAlignment="1">
      <alignment vertical="center" wrapText="1"/>
    </xf>
    <xf numFmtId="2" fontId="11" fillId="3" borderId="19" xfId="0" applyNumberFormat="1" applyFont="1" applyFill="1" applyBorder="1" applyAlignment="1">
      <alignment horizontal="center" vertical="center"/>
    </xf>
    <xf numFmtId="4" fontId="20" fillId="0" borderId="7" xfId="0" applyNumberFormat="1" applyFont="1" applyBorder="1" applyAlignment="1">
      <alignment horizontal="right" vertical="center"/>
    </xf>
    <xf numFmtId="4" fontId="19" fillId="4" borderId="7" xfId="3" applyNumberFormat="1" applyFont="1" applyFill="1" applyBorder="1" applyAlignment="1">
      <alignment horizontal="right" vertical="center" wrapText="1"/>
    </xf>
    <xf numFmtId="2" fontId="6" fillId="7" borderId="7" xfId="0" applyNumberFormat="1" applyFont="1" applyFill="1" applyBorder="1" applyAlignment="1">
      <alignment horizontal="center" vertical="center"/>
    </xf>
    <xf numFmtId="9" fontId="11" fillId="2" borderId="12" xfId="1" applyNumberFormat="1" applyFont="1" applyFill="1" applyBorder="1" applyAlignment="1">
      <alignment horizontal="center" vertical="center"/>
    </xf>
    <xf numFmtId="0" fontId="21" fillId="0" borderId="0" xfId="0" applyFont="1"/>
    <xf numFmtId="0" fontId="20" fillId="0" borderId="0" xfId="0" applyFont="1"/>
    <xf numFmtId="0" fontId="20" fillId="0" borderId="0" xfId="0" applyFont="1" applyAlignment="1">
      <alignment vertical="center"/>
    </xf>
    <xf numFmtId="4" fontId="20" fillId="0" borderId="7" xfId="0" applyNumberFormat="1" applyFont="1" applyBorder="1" applyAlignment="1">
      <alignment horizontal="right"/>
    </xf>
    <xf numFmtId="4" fontId="20" fillId="0" borderId="0" xfId="0" applyNumberFormat="1" applyFont="1" applyAlignment="1">
      <alignment horizontal="center" vertical="center"/>
    </xf>
    <xf numFmtId="4" fontId="20" fillId="0" borderId="0" xfId="0" applyNumberFormat="1" applyFont="1"/>
    <xf numFmtId="4" fontId="20" fillId="0" borderId="0" xfId="0" applyNumberFormat="1" applyFont="1" applyAlignment="1">
      <alignment vertical="center"/>
    </xf>
    <xf numFmtId="4" fontId="6" fillId="2" borderId="7" xfId="0" applyNumberFormat="1" applyFont="1" applyFill="1" applyBorder="1" applyAlignment="1">
      <alignment horizontal="center" vertical="center" wrapText="1"/>
    </xf>
    <xf numFmtId="0" fontId="20" fillId="0" borderId="7" xfId="0" applyFont="1" applyBorder="1" applyAlignment="1">
      <alignment vertical="center"/>
    </xf>
    <xf numFmtId="4" fontId="23" fillId="4" borderId="33" xfId="6" applyNumberFormat="1" applyFont="1" applyFill="1" applyBorder="1" applyAlignment="1">
      <alignment horizontal="right" vertical="center" wrapText="1"/>
    </xf>
    <xf numFmtId="4" fontId="20" fillId="0" borderId="7" xfId="0" applyNumberFormat="1" applyFont="1" applyBorder="1" applyAlignment="1">
      <alignment vertical="center"/>
    </xf>
    <xf numFmtId="0" fontId="8" fillId="4" borderId="34" xfId="5" applyNumberFormat="1" applyFont="1" applyFill="1" applyBorder="1" applyAlignment="1">
      <alignment vertical="top" wrapText="1"/>
    </xf>
    <xf numFmtId="2" fontId="8" fillId="4" borderId="35" xfId="5" applyNumberFormat="1" applyFont="1" applyFill="1" applyBorder="1" applyAlignment="1">
      <alignment horizontal="center" vertical="top" wrapText="1"/>
    </xf>
    <xf numFmtId="4" fontId="6" fillId="2" borderId="35" xfId="0" applyNumberFormat="1" applyFont="1" applyFill="1" applyBorder="1" applyAlignment="1">
      <alignment horizontal="center" vertical="center"/>
    </xf>
    <xf numFmtId="0" fontId="6" fillId="2" borderId="35" xfId="0" applyFont="1" applyFill="1" applyBorder="1" applyAlignment="1">
      <alignment horizontal="left" vertical="center" wrapText="1" indent="2"/>
    </xf>
    <xf numFmtId="49" fontId="6" fillId="2" borderId="35" xfId="0" applyNumberFormat="1" applyFont="1" applyFill="1" applyBorder="1" applyAlignment="1">
      <alignment horizontal="center" vertical="center" wrapText="1"/>
    </xf>
    <xf numFmtId="49" fontId="6" fillId="2" borderId="36" xfId="0" applyNumberFormat="1" applyFont="1" applyFill="1" applyBorder="1" applyAlignment="1">
      <alignment horizontal="center" vertical="center" wrapText="1"/>
    </xf>
    <xf numFmtId="14" fontId="21" fillId="0" borderId="9" xfId="0" applyNumberFormat="1" applyFont="1" applyBorder="1" applyAlignment="1">
      <alignment horizontal="right" vertical="center"/>
    </xf>
    <xf numFmtId="4" fontId="20" fillId="0" borderId="9" xfId="0" applyNumberFormat="1" applyFont="1" applyBorder="1" applyAlignment="1">
      <alignment horizontal="right" vertical="center"/>
    </xf>
    <xf numFmtId="4" fontId="24" fillId="4" borderId="7" xfId="6" applyNumberFormat="1" applyFont="1" applyFill="1" applyBorder="1" applyAlignment="1">
      <alignment horizontal="right" vertical="center" wrapText="1"/>
    </xf>
    <xf numFmtId="4" fontId="24" fillId="4" borderId="7" xfId="3" applyNumberFormat="1" applyFont="1" applyFill="1" applyBorder="1" applyAlignment="1">
      <alignment horizontal="right" vertical="center" wrapText="1"/>
    </xf>
    <xf numFmtId="4" fontId="20" fillId="0" borderId="8" xfId="0" applyNumberFormat="1" applyFont="1" applyBorder="1" applyAlignment="1">
      <alignment vertical="center"/>
    </xf>
    <xf numFmtId="0" fontId="11" fillId="5" borderId="14" xfId="0" applyFont="1" applyFill="1" applyBorder="1" applyAlignment="1">
      <alignment vertical="center" wrapText="1"/>
    </xf>
    <xf numFmtId="0" fontId="11" fillId="5" borderId="40" xfId="0" applyFont="1" applyFill="1" applyBorder="1" applyAlignment="1">
      <alignment vertical="center" wrapText="1"/>
    </xf>
    <xf numFmtId="0" fontId="11" fillId="3" borderId="14" xfId="0" applyFont="1" applyFill="1" applyBorder="1" applyAlignment="1">
      <alignment vertical="center" wrapText="1"/>
    </xf>
    <xf numFmtId="166" fontId="8" fillId="4" borderId="7" xfId="5" applyNumberFormat="1" applyFont="1" applyFill="1" applyBorder="1" applyAlignment="1">
      <alignment horizontal="right" vertical="top" wrapText="1" indent="2"/>
    </xf>
    <xf numFmtId="167" fontId="8" fillId="4" borderId="7" xfId="5" applyNumberFormat="1" applyFont="1" applyFill="1" applyBorder="1" applyAlignment="1">
      <alignment horizontal="right" vertical="top" wrapText="1" indent="2"/>
    </xf>
    <xf numFmtId="166" fontId="8" fillId="4" borderId="19" xfId="3" applyNumberFormat="1" applyFont="1" applyFill="1" applyBorder="1" applyAlignment="1">
      <alignment horizontal="right" vertical="center" wrapText="1" indent="2"/>
    </xf>
    <xf numFmtId="166" fontId="8" fillId="4" borderId="7" xfId="5" applyNumberFormat="1" applyFont="1" applyFill="1" applyBorder="1" applyAlignment="1">
      <alignment horizontal="right" vertical="center" wrapText="1" indent="2"/>
    </xf>
    <xf numFmtId="4" fontId="8" fillId="4" borderId="7" xfId="5" applyNumberFormat="1" applyFont="1" applyFill="1" applyBorder="1" applyAlignment="1">
      <alignment horizontal="right" vertical="top" wrapText="1" indent="2"/>
    </xf>
    <xf numFmtId="4" fontId="6" fillId="2" borderId="19" xfId="0" applyNumberFormat="1" applyFont="1" applyFill="1" applyBorder="1" applyAlignment="1">
      <alignment horizontal="center" vertical="center" wrapText="1"/>
    </xf>
    <xf numFmtId="4" fontId="11" fillId="5" borderId="19" xfId="0" applyNumberFormat="1" applyFont="1" applyFill="1" applyBorder="1" applyAlignment="1">
      <alignment horizontal="left" vertical="center" wrapText="1" indent="3"/>
    </xf>
    <xf numFmtId="4" fontId="11" fillId="5" borderId="19" xfId="0" applyNumberFormat="1" applyFont="1" applyFill="1" applyBorder="1" applyAlignment="1">
      <alignment horizontal="center" vertical="center" wrapText="1"/>
    </xf>
    <xf numFmtId="165" fontId="7" fillId="2" borderId="23" xfId="1" applyNumberFormat="1" applyFont="1" applyFill="1" applyBorder="1" applyAlignment="1">
      <alignment horizontal="left" vertical="center"/>
    </xf>
    <xf numFmtId="4" fontId="11" fillId="3" borderId="19" xfId="0" applyNumberFormat="1" applyFont="1" applyFill="1" applyBorder="1" applyAlignment="1">
      <alignment horizontal="center" vertical="center" wrapText="1"/>
    </xf>
    <xf numFmtId="4" fontId="6" fillId="2" borderId="7" xfId="0" applyNumberFormat="1" applyFont="1" applyFill="1" applyBorder="1" applyAlignment="1">
      <alignment horizontal="left" vertical="center" wrapText="1" indent="4"/>
    </xf>
    <xf numFmtId="4" fontId="6" fillId="2" borderId="19" xfId="0" applyNumberFormat="1" applyFont="1" applyFill="1" applyBorder="1" applyAlignment="1">
      <alignment horizontal="left" vertical="center" wrapText="1" indent="4"/>
    </xf>
    <xf numFmtId="166" fontId="8" fillId="4" borderId="28" xfId="5" applyNumberFormat="1" applyFont="1" applyFill="1" applyBorder="1" applyAlignment="1">
      <alignment horizontal="right" vertical="top" wrapText="1" indent="2"/>
    </xf>
    <xf numFmtId="166" fontId="8" fillId="4" borderId="9" xfId="5" applyNumberFormat="1" applyFont="1" applyFill="1" applyBorder="1" applyAlignment="1">
      <alignment horizontal="right" vertical="top" wrapText="1" indent="2"/>
    </xf>
    <xf numFmtId="2" fontId="8" fillId="4" borderId="7" xfId="5" applyNumberFormat="1" applyFont="1" applyFill="1" applyBorder="1" applyAlignment="1">
      <alignment horizontal="center" wrapText="1"/>
    </xf>
    <xf numFmtId="4" fontId="6" fillId="2" borderId="7" xfId="0" applyNumberFormat="1" applyFont="1" applyFill="1" applyBorder="1" applyAlignment="1">
      <alignment horizontal="center"/>
    </xf>
    <xf numFmtId="2" fontId="8" fillId="4" borderId="7" xfId="3" applyNumberFormat="1" applyFont="1" applyFill="1" applyBorder="1" applyAlignment="1">
      <alignment horizontal="center" wrapText="1"/>
    </xf>
    <xf numFmtId="49" fontId="6" fillId="2" borderId="8" xfId="0" applyNumberFormat="1" applyFont="1" applyFill="1" applyBorder="1" applyAlignment="1">
      <alignment horizontal="center"/>
    </xf>
    <xf numFmtId="0" fontId="6" fillId="2" borderId="7" xfId="0" applyFont="1" applyFill="1" applyBorder="1" applyAlignment="1">
      <alignment horizontal="center" wrapText="1"/>
    </xf>
    <xf numFmtId="0" fontId="9" fillId="0" borderId="0" xfId="0" applyFont="1" applyAlignment="1">
      <alignment horizontal="center"/>
    </xf>
    <xf numFmtId="0" fontId="8" fillId="4" borderId="27" xfId="5" applyNumberFormat="1" applyFont="1" applyFill="1" applyBorder="1" applyAlignment="1">
      <alignment horizontal="left" wrapText="1"/>
    </xf>
    <xf numFmtId="2" fontId="8" fillId="4" borderId="7" xfId="3" applyNumberFormat="1" applyFont="1" applyFill="1" applyBorder="1" applyAlignment="1">
      <alignment horizontal="center" vertical="center" wrapText="1"/>
    </xf>
    <xf numFmtId="166" fontId="8" fillId="4" borderId="7" xfId="3" applyNumberFormat="1" applyFont="1" applyFill="1" applyBorder="1" applyAlignment="1">
      <alignment horizontal="right" vertical="center" wrapText="1" indent="2"/>
    </xf>
    <xf numFmtId="0" fontId="6" fillId="2" borderId="7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21" fillId="0" borderId="28" xfId="0" applyFont="1" applyBorder="1" applyAlignment="1">
      <alignment horizontal="right" vertical="center"/>
    </xf>
    <xf numFmtId="4" fontId="20" fillId="0" borderId="28" xfId="0" applyNumberFormat="1" applyFont="1" applyBorder="1" applyAlignment="1">
      <alignment horizontal="right" vertical="center"/>
    </xf>
    <xf numFmtId="0" fontId="22" fillId="8" borderId="14" xfId="0" applyFont="1" applyFill="1" applyBorder="1" applyAlignment="1">
      <alignment horizontal="center" vertical="center"/>
    </xf>
    <xf numFmtId="4" fontId="21" fillId="8" borderId="44" xfId="0" applyNumberFormat="1" applyFont="1" applyFill="1" applyBorder="1" applyAlignment="1">
      <alignment horizontal="center" vertical="center"/>
    </xf>
    <xf numFmtId="166" fontId="8" fillId="4" borderId="7" xfId="5" applyNumberFormat="1" applyFont="1" applyFill="1" applyBorder="1" applyAlignment="1">
      <alignment horizontal="right" wrapText="1" indent="2"/>
    </xf>
    <xf numFmtId="0" fontId="8" fillId="4" borderId="33" xfId="7" applyNumberFormat="1" applyFont="1" applyFill="1" applyBorder="1" applyAlignment="1">
      <alignment vertical="top" wrapText="1"/>
    </xf>
    <xf numFmtId="166" fontId="8" fillId="4" borderId="35" xfId="5" applyNumberFormat="1" applyFont="1" applyFill="1" applyBorder="1" applyAlignment="1">
      <alignment horizontal="right" vertical="top" wrapText="1" indent="2"/>
    </xf>
    <xf numFmtId="4" fontId="6" fillId="2" borderId="9" xfId="0" applyNumberFormat="1" applyFont="1" applyFill="1" applyBorder="1" applyAlignment="1">
      <alignment horizontal="left" vertical="center" wrapText="1" indent="4"/>
    </xf>
    <xf numFmtId="2" fontId="8" fillId="4" borderId="9" xfId="5" applyNumberFormat="1" applyFont="1" applyFill="1" applyBorder="1" applyAlignment="1">
      <alignment horizontal="center" vertical="center" wrapText="1"/>
    </xf>
    <xf numFmtId="166" fontId="8" fillId="4" borderId="9" xfId="5" applyNumberFormat="1" applyFont="1" applyFill="1" applyBorder="1" applyAlignment="1">
      <alignment horizontal="right" vertical="center" wrapText="1" indent="2"/>
    </xf>
    <xf numFmtId="4" fontId="8" fillId="4" borderId="9" xfId="5" applyNumberFormat="1" applyFont="1" applyFill="1" applyBorder="1" applyAlignment="1">
      <alignment horizontal="right" vertical="center" wrapText="1" indent="2"/>
    </xf>
    <xf numFmtId="2" fontId="8" fillId="4" borderId="9" xfId="3" applyNumberFormat="1" applyFont="1" applyFill="1" applyBorder="1" applyAlignment="1">
      <alignment horizontal="center" vertical="center" wrapText="1"/>
    </xf>
    <xf numFmtId="0" fontId="8" fillId="4" borderId="22" xfId="7" applyNumberFormat="1" applyFont="1" applyFill="1" applyBorder="1" applyAlignment="1">
      <alignment vertical="top" wrapText="1"/>
    </xf>
    <xf numFmtId="4" fontId="6" fillId="2" borderId="9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11" fillId="9" borderId="45" xfId="0" applyFont="1" applyFill="1" applyBorder="1" applyAlignment="1">
      <alignment vertical="center" wrapText="1"/>
    </xf>
    <xf numFmtId="4" fontId="11" fillId="9" borderId="46" xfId="0" applyNumberFormat="1" applyFont="1" applyFill="1" applyBorder="1" applyAlignment="1">
      <alignment horizontal="center" vertical="center" wrapText="1"/>
    </xf>
    <xf numFmtId="2" fontId="11" fillId="9" borderId="46" xfId="0" applyNumberFormat="1" applyFont="1" applyFill="1" applyBorder="1" applyAlignment="1">
      <alignment horizontal="center" vertical="center"/>
    </xf>
    <xf numFmtId="4" fontId="11" fillId="9" borderId="46" xfId="0" applyNumberFormat="1" applyFont="1" applyFill="1" applyBorder="1" applyAlignment="1">
      <alignment horizontal="center" vertical="center"/>
    </xf>
    <xf numFmtId="166" fontId="11" fillId="9" borderId="46" xfId="0" applyNumberFormat="1" applyFont="1" applyFill="1" applyBorder="1" applyAlignment="1">
      <alignment horizontal="center" vertical="center"/>
    </xf>
    <xf numFmtId="49" fontId="11" fillId="9" borderId="47" xfId="0" applyNumberFormat="1" applyFont="1" applyFill="1" applyBorder="1" applyAlignment="1">
      <alignment horizontal="center" vertical="center"/>
    </xf>
    <xf numFmtId="0" fontId="11" fillId="9" borderId="27" xfId="0" applyFont="1" applyFill="1" applyBorder="1" applyAlignment="1">
      <alignment vertical="center" wrapText="1"/>
    </xf>
    <xf numFmtId="4" fontId="11" fillId="9" borderId="7" xfId="0" applyNumberFormat="1" applyFont="1" applyFill="1" applyBorder="1" applyAlignment="1">
      <alignment horizontal="center" vertical="center" wrapText="1"/>
    </xf>
    <xf numFmtId="2" fontId="11" fillId="9" borderId="7" xfId="0" applyNumberFormat="1" applyFont="1" applyFill="1" applyBorder="1" applyAlignment="1">
      <alignment horizontal="center" vertical="center"/>
    </xf>
    <xf numFmtId="4" fontId="11" fillId="9" borderId="7" xfId="0" applyNumberFormat="1" applyFont="1" applyFill="1" applyBorder="1" applyAlignment="1">
      <alignment horizontal="center" vertical="center"/>
    </xf>
    <xf numFmtId="166" fontId="11" fillId="9" borderId="7" xfId="0" applyNumberFormat="1" applyFont="1" applyFill="1" applyBorder="1" applyAlignment="1">
      <alignment horizontal="center" vertical="center"/>
    </xf>
    <xf numFmtId="49" fontId="11" fillId="9" borderId="8" xfId="0" applyNumberFormat="1" applyFont="1" applyFill="1" applyBorder="1" applyAlignment="1">
      <alignment horizontal="center" vertical="center"/>
    </xf>
    <xf numFmtId="0" fontId="11" fillId="9" borderId="11" xfId="0" applyFont="1" applyFill="1" applyBorder="1" applyAlignment="1">
      <alignment vertical="center" wrapText="1"/>
    </xf>
    <xf numFmtId="4" fontId="11" fillId="9" borderId="12" xfId="0" applyNumberFormat="1" applyFont="1" applyFill="1" applyBorder="1" applyAlignment="1">
      <alignment horizontal="center" vertical="center" wrapText="1"/>
    </xf>
    <xf numFmtId="2" fontId="11" fillId="9" borderId="12" xfId="0" applyNumberFormat="1" applyFont="1" applyFill="1" applyBorder="1" applyAlignment="1">
      <alignment horizontal="center" vertical="center"/>
    </xf>
    <xf numFmtId="4" fontId="11" fillId="9" borderId="12" xfId="0" applyNumberFormat="1" applyFont="1" applyFill="1" applyBorder="1" applyAlignment="1">
      <alignment horizontal="center" vertical="center"/>
    </xf>
    <xf numFmtId="166" fontId="11" fillId="9" borderId="12" xfId="0" applyNumberFormat="1" applyFont="1" applyFill="1" applyBorder="1" applyAlignment="1">
      <alignment horizontal="center" vertical="center"/>
    </xf>
    <xf numFmtId="49" fontId="11" fillId="9" borderId="15" xfId="0" applyNumberFormat="1" applyFont="1" applyFill="1" applyBorder="1" applyAlignment="1">
      <alignment horizontal="center" vertical="center"/>
    </xf>
    <xf numFmtId="0" fontId="20" fillId="0" borderId="12" xfId="0" applyFont="1" applyBorder="1" applyAlignment="1">
      <alignment vertical="center"/>
    </xf>
    <xf numFmtId="4" fontId="20" fillId="0" borderId="15" xfId="0" applyNumberFormat="1" applyFont="1" applyBorder="1" applyAlignment="1">
      <alignment vertical="center"/>
    </xf>
    <xf numFmtId="4" fontId="8" fillId="4" borderId="9" xfId="5" applyNumberFormat="1" applyFont="1" applyFill="1" applyBorder="1" applyAlignment="1">
      <alignment horizontal="right" vertical="top" wrapText="1" indent="2"/>
    </xf>
    <xf numFmtId="2" fontId="8" fillId="4" borderId="35" xfId="3" applyNumberFormat="1" applyFont="1" applyFill="1" applyBorder="1" applyAlignment="1">
      <alignment horizontal="center" vertical="top" wrapText="1"/>
    </xf>
    <xf numFmtId="4" fontId="24" fillId="4" borderId="28" xfId="6" applyNumberFormat="1" applyFont="1" applyFill="1" applyBorder="1" applyAlignment="1">
      <alignment horizontal="right" vertical="center" wrapText="1"/>
    </xf>
    <xf numFmtId="0" fontId="20" fillId="0" borderId="28" xfId="0" applyFont="1" applyBorder="1" applyAlignment="1">
      <alignment vertical="center"/>
    </xf>
    <xf numFmtId="0" fontId="20" fillId="8" borderId="19" xfId="0" applyFont="1" applyFill="1" applyBorder="1" applyAlignment="1">
      <alignment vertical="center"/>
    </xf>
    <xf numFmtId="4" fontId="20" fillId="8" borderId="19" xfId="0" applyNumberFormat="1" applyFont="1" applyFill="1" applyBorder="1" applyAlignment="1">
      <alignment horizontal="center" vertical="center"/>
    </xf>
    <xf numFmtId="0" fontId="20" fillId="8" borderId="19" xfId="0" applyFont="1" applyFill="1" applyBorder="1" applyAlignment="1">
      <alignment horizontal="center" vertical="center"/>
    </xf>
    <xf numFmtId="0" fontId="20" fillId="8" borderId="20" xfId="0" applyFont="1" applyFill="1" applyBorder="1" applyAlignment="1">
      <alignment horizontal="center" vertical="center"/>
    </xf>
    <xf numFmtId="4" fontId="8" fillId="4" borderId="7" xfId="5" applyNumberFormat="1" applyFont="1" applyFill="1" applyBorder="1" applyAlignment="1">
      <alignment horizontal="right" vertical="center" wrapText="1" indent="2"/>
    </xf>
    <xf numFmtId="4" fontId="24" fillId="4" borderId="46" xfId="6" applyNumberFormat="1" applyFont="1" applyFill="1" applyBorder="1" applyAlignment="1">
      <alignment horizontal="right" vertical="center" wrapText="1"/>
    </xf>
    <xf numFmtId="4" fontId="20" fillId="0" borderId="46" xfId="0" applyNumberFormat="1" applyFont="1" applyBorder="1" applyAlignment="1">
      <alignment vertical="center"/>
    </xf>
    <xf numFmtId="0" fontId="20" fillId="0" borderId="46" xfId="0" applyFont="1" applyBorder="1" applyAlignment="1">
      <alignment vertical="center"/>
    </xf>
    <xf numFmtId="4" fontId="20" fillId="0" borderId="47" xfId="0" applyNumberFormat="1" applyFont="1" applyBorder="1" applyAlignment="1">
      <alignment vertical="center"/>
    </xf>
    <xf numFmtId="4" fontId="24" fillId="4" borderId="33" xfId="6" applyNumberFormat="1" applyFont="1" applyFill="1" applyBorder="1" applyAlignment="1">
      <alignment horizontal="right" vertical="center" wrapText="1"/>
    </xf>
    <xf numFmtId="4" fontId="8" fillId="4" borderId="7" xfId="3" applyNumberFormat="1" applyFont="1" applyFill="1" applyBorder="1" applyAlignment="1">
      <alignment horizontal="center" vertical="top" wrapText="1"/>
    </xf>
    <xf numFmtId="0" fontId="21" fillId="8" borderId="1" xfId="0" applyFont="1" applyFill="1" applyBorder="1" applyAlignment="1">
      <alignment vertical="center"/>
    </xf>
    <xf numFmtId="14" fontId="21" fillId="0" borderId="48" xfId="0" applyNumberFormat="1" applyFont="1" applyBorder="1" applyAlignment="1">
      <alignment horizontal="right" vertical="center"/>
    </xf>
    <xf numFmtId="14" fontId="21" fillId="0" borderId="49" xfId="0" applyNumberFormat="1" applyFont="1" applyBorder="1" applyAlignment="1">
      <alignment horizontal="right" vertical="center"/>
    </xf>
    <xf numFmtId="14" fontId="21" fillId="0" borderId="50" xfId="0" applyNumberFormat="1" applyFont="1" applyBorder="1" applyAlignment="1">
      <alignment horizontal="right" vertical="center"/>
    </xf>
    <xf numFmtId="0" fontId="8" fillId="4" borderId="13" xfId="5" applyNumberFormat="1" applyFont="1" applyFill="1" applyBorder="1" applyAlignment="1">
      <alignment vertical="top" wrapText="1"/>
    </xf>
    <xf numFmtId="49" fontId="6" fillId="2" borderId="36" xfId="0" applyNumberFormat="1" applyFont="1" applyFill="1" applyBorder="1" applyAlignment="1">
      <alignment horizontal="center" vertical="center"/>
    </xf>
    <xf numFmtId="0" fontId="8" fillId="4" borderId="7" xfId="5" applyNumberFormat="1" applyFont="1" applyFill="1" applyBorder="1" applyAlignment="1">
      <alignment vertical="top" wrapText="1"/>
    </xf>
    <xf numFmtId="4" fontId="6" fillId="2" borderId="35" xfId="0" applyNumberFormat="1" applyFont="1" applyFill="1" applyBorder="1" applyAlignment="1">
      <alignment horizontal="left" vertical="center" wrapText="1" indent="4"/>
    </xf>
    <xf numFmtId="4" fontId="8" fillId="4" borderId="35" xfId="5" applyNumberFormat="1" applyFont="1" applyFill="1" applyBorder="1" applyAlignment="1">
      <alignment horizontal="right" vertical="top" wrapText="1" indent="2"/>
    </xf>
    <xf numFmtId="49" fontId="6" fillId="2" borderId="7" xfId="0" applyNumberFormat="1" applyFont="1" applyFill="1" applyBorder="1" applyAlignment="1">
      <alignment horizontal="center" vertical="center"/>
    </xf>
    <xf numFmtId="4" fontId="6" fillId="2" borderId="29" xfId="0" applyNumberFormat="1" applyFont="1" applyFill="1" applyBorder="1" applyAlignment="1">
      <alignment horizontal="center" vertical="center"/>
    </xf>
    <xf numFmtId="49" fontId="6" fillId="2" borderId="29" xfId="0" applyNumberFormat="1" applyFont="1" applyFill="1" applyBorder="1" applyAlignment="1">
      <alignment horizontal="center" vertical="center"/>
    </xf>
    <xf numFmtId="0" fontId="8" fillId="4" borderId="30" xfId="5" applyNumberFormat="1" applyFont="1" applyFill="1" applyBorder="1" applyAlignment="1">
      <alignment vertical="top" wrapText="1"/>
    </xf>
    <xf numFmtId="49" fontId="6" fillId="2" borderId="52" xfId="0" applyNumberFormat="1" applyFont="1" applyFill="1" applyBorder="1" applyAlignment="1">
      <alignment horizontal="center" vertical="center"/>
    </xf>
    <xf numFmtId="49" fontId="6" fillId="2" borderId="29" xfId="0" applyNumberFormat="1" applyFont="1" applyFill="1" applyBorder="1" applyAlignment="1">
      <alignment horizontal="center" vertical="center" wrapText="1"/>
    </xf>
    <xf numFmtId="4" fontId="23" fillId="4" borderId="53" xfId="6" applyNumberFormat="1" applyFont="1" applyFill="1" applyBorder="1" applyAlignment="1">
      <alignment horizontal="right" vertical="center" wrapText="1"/>
    </xf>
    <xf numFmtId="4" fontId="23" fillId="4" borderId="54" xfId="6" applyNumberFormat="1" applyFont="1" applyFill="1" applyBorder="1" applyAlignment="1">
      <alignment horizontal="right" vertical="center" wrapText="1"/>
    </xf>
    <xf numFmtId="3" fontId="17" fillId="0" borderId="41" xfId="2" applyNumberFormat="1" applyFont="1" applyFill="1" applyBorder="1" applyAlignment="1">
      <alignment horizontal="center" vertical="center" wrapText="1"/>
    </xf>
    <xf numFmtId="3" fontId="17" fillId="0" borderId="43" xfId="2" applyNumberFormat="1" applyFont="1" applyFill="1" applyBorder="1" applyAlignment="1">
      <alignment horizontal="center" vertical="center" wrapText="1"/>
    </xf>
    <xf numFmtId="3" fontId="17" fillId="0" borderId="42" xfId="2" applyNumberFormat="1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16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14" fillId="0" borderId="14" xfId="0" applyFont="1" applyFill="1" applyBorder="1" applyAlignment="1">
      <alignment horizontal="center" vertical="center" wrapText="1"/>
    </xf>
    <xf numFmtId="0" fontId="14" fillId="0" borderId="25" xfId="0" applyFont="1" applyFill="1" applyBorder="1" applyAlignment="1">
      <alignment horizontal="center" vertical="center" wrapText="1"/>
    </xf>
    <xf numFmtId="0" fontId="14" fillId="0" borderId="21" xfId="0" applyFont="1" applyFill="1" applyBorder="1" applyAlignment="1">
      <alignment horizontal="center" vertical="center" wrapText="1"/>
    </xf>
    <xf numFmtId="2" fontId="6" fillId="2" borderId="29" xfId="0" applyNumberFormat="1" applyFont="1" applyFill="1" applyBorder="1" applyAlignment="1">
      <alignment horizontal="right" vertical="center"/>
    </xf>
    <xf numFmtId="2" fontId="6" fillId="2" borderId="30" xfId="0" applyNumberFormat="1" applyFont="1" applyFill="1" applyBorder="1" applyAlignment="1">
      <alignment horizontal="right" vertical="center"/>
    </xf>
    <xf numFmtId="0" fontId="6" fillId="2" borderId="13" xfId="0" applyFont="1" applyFill="1" applyBorder="1" applyAlignment="1">
      <alignment horizontal="center" vertical="center" wrapText="1"/>
    </xf>
    <xf numFmtId="0" fontId="6" fillId="2" borderId="24" xfId="0" applyFont="1" applyFill="1" applyBorder="1" applyAlignment="1">
      <alignment horizontal="center" vertical="center" wrapText="1"/>
    </xf>
    <xf numFmtId="2" fontId="6" fillId="2" borderId="9" xfId="0" applyNumberFormat="1" applyFont="1" applyFill="1" applyBorder="1" applyAlignment="1">
      <alignment horizontal="right" vertical="center"/>
    </xf>
    <xf numFmtId="2" fontId="6" fillId="2" borderId="7" xfId="0" applyNumberFormat="1" applyFont="1" applyFill="1" applyBorder="1" applyAlignment="1">
      <alignment horizontal="right" vertical="center"/>
    </xf>
    <xf numFmtId="2" fontId="6" fillId="7" borderId="29" xfId="0" applyNumberFormat="1" applyFont="1" applyFill="1" applyBorder="1" applyAlignment="1">
      <alignment horizontal="center" vertical="center" wrapText="1"/>
    </xf>
    <xf numFmtId="2" fontId="6" fillId="7" borderId="23" xfId="0" applyNumberFormat="1" applyFont="1" applyFill="1" applyBorder="1" applyAlignment="1">
      <alignment horizontal="center" vertical="center" wrapText="1"/>
    </xf>
    <xf numFmtId="2" fontId="6" fillId="7" borderId="30" xfId="0" applyNumberFormat="1" applyFont="1" applyFill="1" applyBorder="1" applyAlignment="1">
      <alignment horizontal="center" vertical="center" wrapText="1"/>
    </xf>
    <xf numFmtId="0" fontId="15" fillId="6" borderId="14" xfId="0" applyFont="1" applyFill="1" applyBorder="1" applyAlignment="1">
      <alignment horizontal="center" vertical="center" wrapText="1"/>
    </xf>
    <xf numFmtId="0" fontId="15" fillId="6" borderId="25" xfId="0" applyFont="1" applyFill="1" applyBorder="1" applyAlignment="1">
      <alignment horizontal="center" vertical="center" wrapText="1"/>
    </xf>
    <xf numFmtId="0" fontId="15" fillId="6" borderId="21" xfId="0" applyFont="1" applyFill="1" applyBorder="1" applyAlignment="1">
      <alignment horizontal="center" vertical="center" wrapText="1"/>
    </xf>
    <xf numFmtId="0" fontId="15" fillId="6" borderId="38" xfId="0" applyFont="1" applyFill="1" applyBorder="1" applyAlignment="1">
      <alignment horizontal="center" vertical="center" wrapText="1"/>
    </xf>
    <xf numFmtId="0" fontId="15" fillId="6" borderId="37" xfId="0" applyFont="1" applyFill="1" applyBorder="1" applyAlignment="1">
      <alignment horizontal="center" vertical="center" wrapText="1"/>
    </xf>
    <xf numFmtId="0" fontId="15" fillId="6" borderId="39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5" fillId="10" borderId="34" xfId="0" applyFont="1" applyFill="1" applyBorder="1" applyAlignment="1">
      <alignment horizontal="center" vertical="center" wrapText="1"/>
    </xf>
    <xf numFmtId="0" fontId="5" fillId="10" borderId="2" xfId="0" applyFont="1" applyFill="1" applyBorder="1" applyAlignment="1">
      <alignment horizontal="center" vertical="center" wrapText="1"/>
    </xf>
    <xf numFmtId="0" fontId="5" fillId="10" borderId="35" xfId="0" applyFont="1" applyFill="1" applyBorder="1" applyAlignment="1">
      <alignment horizontal="center" vertical="center" wrapText="1"/>
    </xf>
    <xf numFmtId="4" fontId="24" fillId="4" borderId="51" xfId="6" applyNumberFormat="1" applyFont="1" applyFill="1" applyBorder="1" applyAlignment="1">
      <alignment horizontal="right" vertical="center" wrapText="1"/>
    </xf>
    <xf numFmtId="4" fontId="20" fillId="0" borderId="12" xfId="0" applyNumberFormat="1" applyFont="1" applyBorder="1" applyAlignment="1">
      <alignment horizontal="right" vertical="center"/>
    </xf>
    <xf numFmtId="2" fontId="8" fillId="4" borderId="33" xfId="8" applyNumberFormat="1" applyFont="1" applyFill="1" applyBorder="1" applyAlignment="1">
      <alignment horizontal="center" vertical="center" wrapText="1"/>
    </xf>
    <xf numFmtId="0" fontId="8" fillId="4" borderId="55" xfId="7" applyNumberFormat="1" applyFont="1" applyFill="1" applyBorder="1" applyAlignment="1">
      <alignment vertical="top" wrapText="1"/>
    </xf>
  </cellXfs>
  <cellStyles count="9">
    <cellStyle name="Обычный" xfId="0" builtinId="0"/>
    <cellStyle name="Обычный 2" xfId="4"/>
    <cellStyle name="Обычный_Апрель" xfId="5"/>
    <cellStyle name="Обычный_Июнь 2020" xfId="8"/>
    <cellStyle name="Обычный_Лист1" xfId="3"/>
    <cellStyle name="Обычный_октябрь 2017" xfId="2"/>
    <cellStyle name="Обычный_Приход ДС" xfId="6"/>
    <cellStyle name="Обычный_Февраль 2020" xfId="7"/>
    <cellStyle name="Финансовый" xfId="1" builtinId="3"/>
  </cellStyles>
  <dxfs count="0"/>
  <tableStyles count="0" defaultTableStyle="TableStyleMedium9" defaultPivotStyle="PivotStyleLight16"/>
  <colors>
    <mruColors>
      <color rgb="FFFF9BF1"/>
      <color rgb="FFFFDDFA"/>
      <color rgb="FFFFFF99"/>
      <color rgb="FFFF99CC"/>
      <color rgb="FFFFFFCC"/>
      <color rgb="FF00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467"/>
  <sheetViews>
    <sheetView tabSelected="1" view="pageBreakPreview" topLeftCell="A2" zoomScaleSheetLayoutView="100" workbookViewId="0">
      <selection activeCell="A2" sqref="A2:J2"/>
    </sheetView>
  </sheetViews>
  <sheetFormatPr defaultRowHeight="15"/>
  <cols>
    <col min="1" max="1" width="50.7109375" style="18" customWidth="1"/>
    <col min="2" max="2" width="15.7109375" style="18" customWidth="1"/>
    <col min="3" max="3" width="12.7109375" style="21" customWidth="1"/>
    <col min="4" max="4" width="14" style="18" customWidth="1"/>
    <col min="5" max="5" width="15.85546875" style="18" customWidth="1"/>
    <col min="6" max="6" width="16.5703125" style="1" customWidth="1"/>
    <col min="7" max="7" width="15.28515625" style="18" customWidth="1"/>
    <col min="8" max="10" width="11.7109375" style="18" customWidth="1"/>
    <col min="11" max="256" width="9.140625" style="18"/>
    <col min="257" max="257" width="44.140625" style="18" customWidth="1"/>
    <col min="258" max="258" width="23.85546875" style="18" customWidth="1"/>
    <col min="259" max="259" width="15.85546875" style="18" customWidth="1"/>
    <col min="260" max="260" width="19.5703125" style="18" customWidth="1"/>
    <col min="261" max="261" width="20.140625" style="18" customWidth="1"/>
    <col min="262" max="262" width="19.85546875" style="18" customWidth="1"/>
    <col min="263" max="263" width="21.42578125" style="18" customWidth="1"/>
    <col min="264" max="264" width="20.28515625" style="18" customWidth="1"/>
    <col min="265" max="265" width="13.5703125" style="18" customWidth="1"/>
    <col min="266" max="266" width="13.140625" style="18" customWidth="1"/>
    <col min="267" max="512" width="9.140625" style="18"/>
    <col min="513" max="513" width="44.140625" style="18" customWidth="1"/>
    <col min="514" max="514" width="23.85546875" style="18" customWidth="1"/>
    <col min="515" max="515" width="15.85546875" style="18" customWidth="1"/>
    <col min="516" max="516" width="19.5703125" style="18" customWidth="1"/>
    <col min="517" max="517" width="20.140625" style="18" customWidth="1"/>
    <col min="518" max="518" width="19.85546875" style="18" customWidth="1"/>
    <col min="519" max="519" width="21.42578125" style="18" customWidth="1"/>
    <col min="520" max="520" width="20.28515625" style="18" customWidth="1"/>
    <col min="521" max="521" width="13.5703125" style="18" customWidth="1"/>
    <col min="522" max="522" width="13.140625" style="18" customWidth="1"/>
    <col min="523" max="768" width="9.140625" style="18"/>
    <col min="769" max="769" width="44.140625" style="18" customWidth="1"/>
    <col min="770" max="770" width="23.85546875" style="18" customWidth="1"/>
    <col min="771" max="771" width="15.85546875" style="18" customWidth="1"/>
    <col min="772" max="772" width="19.5703125" style="18" customWidth="1"/>
    <col min="773" max="773" width="20.140625" style="18" customWidth="1"/>
    <col min="774" max="774" width="19.85546875" style="18" customWidth="1"/>
    <col min="775" max="775" width="21.42578125" style="18" customWidth="1"/>
    <col min="776" max="776" width="20.28515625" style="18" customWidth="1"/>
    <col min="777" max="777" width="13.5703125" style="18" customWidth="1"/>
    <col min="778" max="778" width="13.140625" style="18" customWidth="1"/>
    <col min="779" max="1024" width="9.140625" style="18"/>
    <col min="1025" max="1025" width="44.140625" style="18" customWidth="1"/>
    <col min="1026" max="1026" width="23.85546875" style="18" customWidth="1"/>
    <col min="1027" max="1027" width="15.85546875" style="18" customWidth="1"/>
    <col min="1028" max="1028" width="19.5703125" style="18" customWidth="1"/>
    <col min="1029" max="1029" width="20.140625" style="18" customWidth="1"/>
    <col min="1030" max="1030" width="19.85546875" style="18" customWidth="1"/>
    <col min="1031" max="1031" width="21.42578125" style="18" customWidth="1"/>
    <col min="1032" max="1032" width="20.28515625" style="18" customWidth="1"/>
    <col min="1033" max="1033" width="13.5703125" style="18" customWidth="1"/>
    <col min="1034" max="1034" width="13.140625" style="18" customWidth="1"/>
    <col min="1035" max="1280" width="9.140625" style="18"/>
    <col min="1281" max="1281" width="44.140625" style="18" customWidth="1"/>
    <col min="1282" max="1282" width="23.85546875" style="18" customWidth="1"/>
    <col min="1283" max="1283" width="15.85546875" style="18" customWidth="1"/>
    <col min="1284" max="1284" width="19.5703125" style="18" customWidth="1"/>
    <col min="1285" max="1285" width="20.140625" style="18" customWidth="1"/>
    <col min="1286" max="1286" width="19.85546875" style="18" customWidth="1"/>
    <col min="1287" max="1287" width="21.42578125" style="18" customWidth="1"/>
    <col min="1288" max="1288" width="20.28515625" style="18" customWidth="1"/>
    <col min="1289" max="1289" width="13.5703125" style="18" customWidth="1"/>
    <col min="1290" max="1290" width="13.140625" style="18" customWidth="1"/>
    <col min="1291" max="1536" width="9.140625" style="18"/>
    <col min="1537" max="1537" width="44.140625" style="18" customWidth="1"/>
    <col min="1538" max="1538" width="23.85546875" style="18" customWidth="1"/>
    <col min="1539" max="1539" width="15.85546875" style="18" customWidth="1"/>
    <col min="1540" max="1540" width="19.5703125" style="18" customWidth="1"/>
    <col min="1541" max="1541" width="20.140625" style="18" customWidth="1"/>
    <col min="1542" max="1542" width="19.85546875" style="18" customWidth="1"/>
    <col min="1543" max="1543" width="21.42578125" style="18" customWidth="1"/>
    <col min="1544" max="1544" width="20.28515625" style="18" customWidth="1"/>
    <col min="1545" max="1545" width="13.5703125" style="18" customWidth="1"/>
    <col min="1546" max="1546" width="13.140625" style="18" customWidth="1"/>
    <col min="1547" max="1792" width="9.140625" style="18"/>
    <col min="1793" max="1793" width="44.140625" style="18" customWidth="1"/>
    <col min="1794" max="1794" width="23.85546875" style="18" customWidth="1"/>
    <col min="1795" max="1795" width="15.85546875" style="18" customWidth="1"/>
    <col min="1796" max="1796" width="19.5703125" style="18" customWidth="1"/>
    <col min="1797" max="1797" width="20.140625" style="18" customWidth="1"/>
    <col min="1798" max="1798" width="19.85546875" style="18" customWidth="1"/>
    <col min="1799" max="1799" width="21.42578125" style="18" customWidth="1"/>
    <col min="1800" max="1800" width="20.28515625" style="18" customWidth="1"/>
    <col min="1801" max="1801" width="13.5703125" style="18" customWidth="1"/>
    <col min="1802" max="1802" width="13.140625" style="18" customWidth="1"/>
    <col min="1803" max="2048" width="9.140625" style="18"/>
    <col min="2049" max="2049" width="44.140625" style="18" customWidth="1"/>
    <col min="2050" max="2050" width="23.85546875" style="18" customWidth="1"/>
    <col min="2051" max="2051" width="15.85546875" style="18" customWidth="1"/>
    <col min="2052" max="2052" width="19.5703125" style="18" customWidth="1"/>
    <col min="2053" max="2053" width="20.140625" style="18" customWidth="1"/>
    <col min="2054" max="2054" width="19.85546875" style="18" customWidth="1"/>
    <col min="2055" max="2055" width="21.42578125" style="18" customWidth="1"/>
    <col min="2056" max="2056" width="20.28515625" style="18" customWidth="1"/>
    <col min="2057" max="2057" width="13.5703125" style="18" customWidth="1"/>
    <col min="2058" max="2058" width="13.140625" style="18" customWidth="1"/>
    <col min="2059" max="2304" width="9.140625" style="18"/>
    <col min="2305" max="2305" width="44.140625" style="18" customWidth="1"/>
    <col min="2306" max="2306" width="23.85546875" style="18" customWidth="1"/>
    <col min="2307" max="2307" width="15.85546875" style="18" customWidth="1"/>
    <col min="2308" max="2308" width="19.5703125" style="18" customWidth="1"/>
    <col min="2309" max="2309" width="20.140625" style="18" customWidth="1"/>
    <col min="2310" max="2310" width="19.85546875" style="18" customWidth="1"/>
    <col min="2311" max="2311" width="21.42578125" style="18" customWidth="1"/>
    <col min="2312" max="2312" width="20.28515625" style="18" customWidth="1"/>
    <col min="2313" max="2313" width="13.5703125" style="18" customWidth="1"/>
    <col min="2314" max="2314" width="13.140625" style="18" customWidth="1"/>
    <col min="2315" max="2560" width="9.140625" style="18"/>
    <col min="2561" max="2561" width="44.140625" style="18" customWidth="1"/>
    <col min="2562" max="2562" width="23.85546875" style="18" customWidth="1"/>
    <col min="2563" max="2563" width="15.85546875" style="18" customWidth="1"/>
    <col min="2564" max="2564" width="19.5703125" style="18" customWidth="1"/>
    <col min="2565" max="2565" width="20.140625" style="18" customWidth="1"/>
    <col min="2566" max="2566" width="19.85546875" style="18" customWidth="1"/>
    <col min="2567" max="2567" width="21.42578125" style="18" customWidth="1"/>
    <col min="2568" max="2568" width="20.28515625" style="18" customWidth="1"/>
    <col min="2569" max="2569" width="13.5703125" style="18" customWidth="1"/>
    <col min="2570" max="2570" width="13.140625" style="18" customWidth="1"/>
    <col min="2571" max="2816" width="9.140625" style="18"/>
    <col min="2817" max="2817" width="44.140625" style="18" customWidth="1"/>
    <col min="2818" max="2818" width="23.85546875" style="18" customWidth="1"/>
    <col min="2819" max="2819" width="15.85546875" style="18" customWidth="1"/>
    <col min="2820" max="2820" width="19.5703125" style="18" customWidth="1"/>
    <col min="2821" max="2821" width="20.140625" style="18" customWidth="1"/>
    <col min="2822" max="2822" width="19.85546875" style="18" customWidth="1"/>
    <col min="2823" max="2823" width="21.42578125" style="18" customWidth="1"/>
    <col min="2824" max="2824" width="20.28515625" style="18" customWidth="1"/>
    <col min="2825" max="2825" width="13.5703125" style="18" customWidth="1"/>
    <col min="2826" max="2826" width="13.140625" style="18" customWidth="1"/>
    <col min="2827" max="3072" width="9.140625" style="18"/>
    <col min="3073" max="3073" width="44.140625" style="18" customWidth="1"/>
    <col min="3074" max="3074" width="23.85546875" style="18" customWidth="1"/>
    <col min="3075" max="3075" width="15.85546875" style="18" customWidth="1"/>
    <col min="3076" max="3076" width="19.5703125" style="18" customWidth="1"/>
    <col min="3077" max="3077" width="20.140625" style="18" customWidth="1"/>
    <col min="3078" max="3078" width="19.85546875" style="18" customWidth="1"/>
    <col min="3079" max="3079" width="21.42578125" style="18" customWidth="1"/>
    <col min="3080" max="3080" width="20.28515625" style="18" customWidth="1"/>
    <col min="3081" max="3081" width="13.5703125" style="18" customWidth="1"/>
    <col min="3082" max="3082" width="13.140625" style="18" customWidth="1"/>
    <col min="3083" max="3328" width="9.140625" style="18"/>
    <col min="3329" max="3329" width="44.140625" style="18" customWidth="1"/>
    <col min="3330" max="3330" width="23.85546875" style="18" customWidth="1"/>
    <col min="3331" max="3331" width="15.85546875" style="18" customWidth="1"/>
    <col min="3332" max="3332" width="19.5703125" style="18" customWidth="1"/>
    <col min="3333" max="3333" width="20.140625" style="18" customWidth="1"/>
    <col min="3334" max="3334" width="19.85546875" style="18" customWidth="1"/>
    <col min="3335" max="3335" width="21.42578125" style="18" customWidth="1"/>
    <col min="3336" max="3336" width="20.28515625" style="18" customWidth="1"/>
    <col min="3337" max="3337" width="13.5703125" style="18" customWidth="1"/>
    <col min="3338" max="3338" width="13.140625" style="18" customWidth="1"/>
    <col min="3339" max="3584" width="9.140625" style="18"/>
    <col min="3585" max="3585" width="44.140625" style="18" customWidth="1"/>
    <col min="3586" max="3586" width="23.85546875" style="18" customWidth="1"/>
    <col min="3587" max="3587" width="15.85546875" style="18" customWidth="1"/>
    <col min="3588" max="3588" width="19.5703125" style="18" customWidth="1"/>
    <col min="3589" max="3589" width="20.140625" style="18" customWidth="1"/>
    <col min="3590" max="3590" width="19.85546875" style="18" customWidth="1"/>
    <col min="3591" max="3591" width="21.42578125" style="18" customWidth="1"/>
    <col min="3592" max="3592" width="20.28515625" style="18" customWidth="1"/>
    <col min="3593" max="3593" width="13.5703125" style="18" customWidth="1"/>
    <col min="3594" max="3594" width="13.140625" style="18" customWidth="1"/>
    <col min="3595" max="3840" width="9.140625" style="18"/>
    <col min="3841" max="3841" width="44.140625" style="18" customWidth="1"/>
    <col min="3842" max="3842" width="23.85546875" style="18" customWidth="1"/>
    <col min="3843" max="3843" width="15.85546875" style="18" customWidth="1"/>
    <col min="3844" max="3844" width="19.5703125" style="18" customWidth="1"/>
    <col min="3845" max="3845" width="20.140625" style="18" customWidth="1"/>
    <col min="3846" max="3846" width="19.85546875" style="18" customWidth="1"/>
    <col min="3847" max="3847" width="21.42578125" style="18" customWidth="1"/>
    <col min="3848" max="3848" width="20.28515625" style="18" customWidth="1"/>
    <col min="3849" max="3849" width="13.5703125" style="18" customWidth="1"/>
    <col min="3850" max="3850" width="13.140625" style="18" customWidth="1"/>
    <col min="3851" max="4096" width="9.140625" style="18"/>
    <col min="4097" max="4097" width="44.140625" style="18" customWidth="1"/>
    <col min="4098" max="4098" width="23.85546875" style="18" customWidth="1"/>
    <col min="4099" max="4099" width="15.85546875" style="18" customWidth="1"/>
    <col min="4100" max="4100" width="19.5703125" style="18" customWidth="1"/>
    <col min="4101" max="4101" width="20.140625" style="18" customWidth="1"/>
    <col min="4102" max="4102" width="19.85546875" style="18" customWidth="1"/>
    <col min="4103" max="4103" width="21.42578125" style="18" customWidth="1"/>
    <col min="4104" max="4104" width="20.28515625" style="18" customWidth="1"/>
    <col min="4105" max="4105" width="13.5703125" style="18" customWidth="1"/>
    <col min="4106" max="4106" width="13.140625" style="18" customWidth="1"/>
    <col min="4107" max="4352" width="9.140625" style="18"/>
    <col min="4353" max="4353" width="44.140625" style="18" customWidth="1"/>
    <col min="4354" max="4354" width="23.85546875" style="18" customWidth="1"/>
    <col min="4355" max="4355" width="15.85546875" style="18" customWidth="1"/>
    <col min="4356" max="4356" width="19.5703125" style="18" customWidth="1"/>
    <col min="4357" max="4357" width="20.140625" style="18" customWidth="1"/>
    <col min="4358" max="4358" width="19.85546875" style="18" customWidth="1"/>
    <col min="4359" max="4359" width="21.42578125" style="18" customWidth="1"/>
    <col min="4360" max="4360" width="20.28515625" style="18" customWidth="1"/>
    <col min="4361" max="4361" width="13.5703125" style="18" customWidth="1"/>
    <col min="4362" max="4362" width="13.140625" style="18" customWidth="1"/>
    <col min="4363" max="4608" width="9.140625" style="18"/>
    <col min="4609" max="4609" width="44.140625" style="18" customWidth="1"/>
    <col min="4610" max="4610" width="23.85546875" style="18" customWidth="1"/>
    <col min="4611" max="4611" width="15.85546875" style="18" customWidth="1"/>
    <col min="4612" max="4612" width="19.5703125" style="18" customWidth="1"/>
    <col min="4613" max="4613" width="20.140625" style="18" customWidth="1"/>
    <col min="4614" max="4614" width="19.85546875" style="18" customWidth="1"/>
    <col min="4615" max="4615" width="21.42578125" style="18" customWidth="1"/>
    <col min="4616" max="4616" width="20.28515625" style="18" customWidth="1"/>
    <col min="4617" max="4617" width="13.5703125" style="18" customWidth="1"/>
    <col min="4618" max="4618" width="13.140625" style="18" customWidth="1"/>
    <col min="4619" max="4864" width="9.140625" style="18"/>
    <col min="4865" max="4865" width="44.140625" style="18" customWidth="1"/>
    <col min="4866" max="4866" width="23.85546875" style="18" customWidth="1"/>
    <col min="4867" max="4867" width="15.85546875" style="18" customWidth="1"/>
    <col min="4868" max="4868" width="19.5703125" style="18" customWidth="1"/>
    <col min="4869" max="4869" width="20.140625" style="18" customWidth="1"/>
    <col min="4870" max="4870" width="19.85546875" style="18" customWidth="1"/>
    <col min="4871" max="4871" width="21.42578125" style="18" customWidth="1"/>
    <col min="4872" max="4872" width="20.28515625" style="18" customWidth="1"/>
    <col min="4873" max="4873" width="13.5703125" style="18" customWidth="1"/>
    <col min="4874" max="4874" width="13.140625" style="18" customWidth="1"/>
    <col min="4875" max="5120" width="9.140625" style="18"/>
    <col min="5121" max="5121" width="44.140625" style="18" customWidth="1"/>
    <col min="5122" max="5122" width="23.85546875" style="18" customWidth="1"/>
    <col min="5123" max="5123" width="15.85546875" style="18" customWidth="1"/>
    <col min="5124" max="5124" width="19.5703125" style="18" customWidth="1"/>
    <col min="5125" max="5125" width="20.140625" style="18" customWidth="1"/>
    <col min="5126" max="5126" width="19.85546875" style="18" customWidth="1"/>
    <col min="5127" max="5127" width="21.42578125" style="18" customWidth="1"/>
    <col min="5128" max="5128" width="20.28515625" style="18" customWidth="1"/>
    <col min="5129" max="5129" width="13.5703125" style="18" customWidth="1"/>
    <col min="5130" max="5130" width="13.140625" style="18" customWidth="1"/>
    <col min="5131" max="5376" width="9.140625" style="18"/>
    <col min="5377" max="5377" width="44.140625" style="18" customWidth="1"/>
    <col min="5378" max="5378" width="23.85546875" style="18" customWidth="1"/>
    <col min="5379" max="5379" width="15.85546875" style="18" customWidth="1"/>
    <col min="5380" max="5380" width="19.5703125" style="18" customWidth="1"/>
    <col min="5381" max="5381" width="20.140625" style="18" customWidth="1"/>
    <col min="5382" max="5382" width="19.85546875" style="18" customWidth="1"/>
    <col min="5383" max="5383" width="21.42578125" style="18" customWidth="1"/>
    <col min="5384" max="5384" width="20.28515625" style="18" customWidth="1"/>
    <col min="5385" max="5385" width="13.5703125" style="18" customWidth="1"/>
    <col min="5386" max="5386" width="13.140625" style="18" customWidth="1"/>
    <col min="5387" max="5632" width="9.140625" style="18"/>
    <col min="5633" max="5633" width="44.140625" style="18" customWidth="1"/>
    <col min="5634" max="5634" width="23.85546875" style="18" customWidth="1"/>
    <col min="5635" max="5635" width="15.85546875" style="18" customWidth="1"/>
    <col min="5636" max="5636" width="19.5703125" style="18" customWidth="1"/>
    <col min="5637" max="5637" width="20.140625" style="18" customWidth="1"/>
    <col min="5638" max="5638" width="19.85546875" style="18" customWidth="1"/>
    <col min="5639" max="5639" width="21.42578125" style="18" customWidth="1"/>
    <col min="5640" max="5640" width="20.28515625" style="18" customWidth="1"/>
    <col min="5641" max="5641" width="13.5703125" style="18" customWidth="1"/>
    <col min="5642" max="5642" width="13.140625" style="18" customWidth="1"/>
    <col min="5643" max="5888" width="9.140625" style="18"/>
    <col min="5889" max="5889" width="44.140625" style="18" customWidth="1"/>
    <col min="5890" max="5890" width="23.85546875" style="18" customWidth="1"/>
    <col min="5891" max="5891" width="15.85546875" style="18" customWidth="1"/>
    <col min="5892" max="5892" width="19.5703125" style="18" customWidth="1"/>
    <col min="5893" max="5893" width="20.140625" style="18" customWidth="1"/>
    <col min="5894" max="5894" width="19.85546875" style="18" customWidth="1"/>
    <col min="5895" max="5895" width="21.42578125" style="18" customWidth="1"/>
    <col min="5896" max="5896" width="20.28515625" style="18" customWidth="1"/>
    <col min="5897" max="5897" width="13.5703125" style="18" customWidth="1"/>
    <col min="5898" max="5898" width="13.140625" style="18" customWidth="1"/>
    <col min="5899" max="6144" width="9.140625" style="18"/>
    <col min="6145" max="6145" width="44.140625" style="18" customWidth="1"/>
    <col min="6146" max="6146" width="23.85546875" style="18" customWidth="1"/>
    <col min="6147" max="6147" width="15.85546875" style="18" customWidth="1"/>
    <col min="6148" max="6148" width="19.5703125" style="18" customWidth="1"/>
    <col min="6149" max="6149" width="20.140625" style="18" customWidth="1"/>
    <col min="6150" max="6150" width="19.85546875" style="18" customWidth="1"/>
    <col min="6151" max="6151" width="21.42578125" style="18" customWidth="1"/>
    <col min="6152" max="6152" width="20.28515625" style="18" customWidth="1"/>
    <col min="6153" max="6153" width="13.5703125" style="18" customWidth="1"/>
    <col min="6154" max="6154" width="13.140625" style="18" customWidth="1"/>
    <col min="6155" max="6400" width="9.140625" style="18"/>
    <col min="6401" max="6401" width="44.140625" style="18" customWidth="1"/>
    <col min="6402" max="6402" width="23.85546875" style="18" customWidth="1"/>
    <col min="6403" max="6403" width="15.85546875" style="18" customWidth="1"/>
    <col min="6404" max="6404" width="19.5703125" style="18" customWidth="1"/>
    <col min="6405" max="6405" width="20.140625" style="18" customWidth="1"/>
    <col min="6406" max="6406" width="19.85546875" style="18" customWidth="1"/>
    <col min="6407" max="6407" width="21.42578125" style="18" customWidth="1"/>
    <col min="6408" max="6408" width="20.28515625" style="18" customWidth="1"/>
    <col min="6409" max="6409" width="13.5703125" style="18" customWidth="1"/>
    <col min="6410" max="6410" width="13.140625" style="18" customWidth="1"/>
    <col min="6411" max="6656" width="9.140625" style="18"/>
    <col min="6657" max="6657" width="44.140625" style="18" customWidth="1"/>
    <col min="6658" max="6658" width="23.85546875" style="18" customWidth="1"/>
    <col min="6659" max="6659" width="15.85546875" style="18" customWidth="1"/>
    <col min="6660" max="6660" width="19.5703125" style="18" customWidth="1"/>
    <col min="6661" max="6661" width="20.140625" style="18" customWidth="1"/>
    <col min="6662" max="6662" width="19.85546875" style="18" customWidth="1"/>
    <col min="6663" max="6663" width="21.42578125" style="18" customWidth="1"/>
    <col min="6664" max="6664" width="20.28515625" style="18" customWidth="1"/>
    <col min="6665" max="6665" width="13.5703125" style="18" customWidth="1"/>
    <col min="6666" max="6666" width="13.140625" style="18" customWidth="1"/>
    <col min="6667" max="6912" width="9.140625" style="18"/>
    <col min="6913" max="6913" width="44.140625" style="18" customWidth="1"/>
    <col min="6914" max="6914" width="23.85546875" style="18" customWidth="1"/>
    <col min="6915" max="6915" width="15.85546875" style="18" customWidth="1"/>
    <col min="6916" max="6916" width="19.5703125" style="18" customWidth="1"/>
    <col min="6917" max="6917" width="20.140625" style="18" customWidth="1"/>
    <col min="6918" max="6918" width="19.85546875" style="18" customWidth="1"/>
    <col min="6919" max="6919" width="21.42578125" style="18" customWidth="1"/>
    <col min="6920" max="6920" width="20.28515625" style="18" customWidth="1"/>
    <col min="6921" max="6921" width="13.5703125" style="18" customWidth="1"/>
    <col min="6922" max="6922" width="13.140625" style="18" customWidth="1"/>
    <col min="6923" max="7168" width="9.140625" style="18"/>
    <col min="7169" max="7169" width="44.140625" style="18" customWidth="1"/>
    <col min="7170" max="7170" width="23.85546875" style="18" customWidth="1"/>
    <col min="7171" max="7171" width="15.85546875" style="18" customWidth="1"/>
    <col min="7172" max="7172" width="19.5703125" style="18" customWidth="1"/>
    <col min="7173" max="7173" width="20.140625" style="18" customWidth="1"/>
    <col min="7174" max="7174" width="19.85546875" style="18" customWidth="1"/>
    <col min="7175" max="7175" width="21.42578125" style="18" customWidth="1"/>
    <col min="7176" max="7176" width="20.28515625" style="18" customWidth="1"/>
    <col min="7177" max="7177" width="13.5703125" style="18" customWidth="1"/>
    <col min="7178" max="7178" width="13.140625" style="18" customWidth="1"/>
    <col min="7179" max="7424" width="9.140625" style="18"/>
    <col min="7425" max="7425" width="44.140625" style="18" customWidth="1"/>
    <col min="7426" max="7426" width="23.85546875" style="18" customWidth="1"/>
    <col min="7427" max="7427" width="15.85546875" style="18" customWidth="1"/>
    <col min="7428" max="7428" width="19.5703125" style="18" customWidth="1"/>
    <col min="7429" max="7429" width="20.140625" style="18" customWidth="1"/>
    <col min="7430" max="7430" width="19.85546875" style="18" customWidth="1"/>
    <col min="7431" max="7431" width="21.42578125" style="18" customWidth="1"/>
    <col min="7432" max="7432" width="20.28515625" style="18" customWidth="1"/>
    <col min="7433" max="7433" width="13.5703125" style="18" customWidth="1"/>
    <col min="7434" max="7434" width="13.140625" style="18" customWidth="1"/>
    <col min="7435" max="7680" width="9.140625" style="18"/>
    <col min="7681" max="7681" width="44.140625" style="18" customWidth="1"/>
    <col min="7682" max="7682" width="23.85546875" style="18" customWidth="1"/>
    <col min="7683" max="7683" width="15.85546875" style="18" customWidth="1"/>
    <col min="7684" max="7684" width="19.5703125" style="18" customWidth="1"/>
    <col min="7685" max="7685" width="20.140625" style="18" customWidth="1"/>
    <col min="7686" max="7686" width="19.85546875" style="18" customWidth="1"/>
    <col min="7687" max="7687" width="21.42578125" style="18" customWidth="1"/>
    <col min="7688" max="7688" width="20.28515625" style="18" customWidth="1"/>
    <col min="7689" max="7689" width="13.5703125" style="18" customWidth="1"/>
    <col min="7690" max="7690" width="13.140625" style="18" customWidth="1"/>
    <col min="7691" max="7936" width="9.140625" style="18"/>
    <col min="7937" max="7937" width="44.140625" style="18" customWidth="1"/>
    <col min="7938" max="7938" width="23.85546875" style="18" customWidth="1"/>
    <col min="7939" max="7939" width="15.85546875" style="18" customWidth="1"/>
    <col min="7940" max="7940" width="19.5703125" style="18" customWidth="1"/>
    <col min="7941" max="7941" width="20.140625" style="18" customWidth="1"/>
    <col min="7942" max="7942" width="19.85546875" style="18" customWidth="1"/>
    <col min="7943" max="7943" width="21.42578125" style="18" customWidth="1"/>
    <col min="7944" max="7944" width="20.28515625" style="18" customWidth="1"/>
    <col min="7945" max="7945" width="13.5703125" style="18" customWidth="1"/>
    <col min="7946" max="7946" width="13.140625" style="18" customWidth="1"/>
    <col min="7947" max="8192" width="9.140625" style="18"/>
    <col min="8193" max="8193" width="44.140625" style="18" customWidth="1"/>
    <col min="8194" max="8194" width="23.85546875" style="18" customWidth="1"/>
    <col min="8195" max="8195" width="15.85546875" style="18" customWidth="1"/>
    <col min="8196" max="8196" width="19.5703125" style="18" customWidth="1"/>
    <col min="8197" max="8197" width="20.140625" style="18" customWidth="1"/>
    <col min="8198" max="8198" width="19.85546875" style="18" customWidth="1"/>
    <col min="8199" max="8199" width="21.42578125" style="18" customWidth="1"/>
    <col min="8200" max="8200" width="20.28515625" style="18" customWidth="1"/>
    <col min="8201" max="8201" width="13.5703125" style="18" customWidth="1"/>
    <col min="8202" max="8202" width="13.140625" style="18" customWidth="1"/>
    <col min="8203" max="8448" width="9.140625" style="18"/>
    <col min="8449" max="8449" width="44.140625" style="18" customWidth="1"/>
    <col min="8450" max="8450" width="23.85546875" style="18" customWidth="1"/>
    <col min="8451" max="8451" width="15.85546875" style="18" customWidth="1"/>
    <col min="8452" max="8452" width="19.5703125" style="18" customWidth="1"/>
    <col min="8453" max="8453" width="20.140625" style="18" customWidth="1"/>
    <col min="8454" max="8454" width="19.85546875" style="18" customWidth="1"/>
    <col min="8455" max="8455" width="21.42578125" style="18" customWidth="1"/>
    <col min="8456" max="8456" width="20.28515625" style="18" customWidth="1"/>
    <col min="8457" max="8457" width="13.5703125" style="18" customWidth="1"/>
    <col min="8458" max="8458" width="13.140625" style="18" customWidth="1"/>
    <col min="8459" max="8704" width="9.140625" style="18"/>
    <col min="8705" max="8705" width="44.140625" style="18" customWidth="1"/>
    <col min="8706" max="8706" width="23.85546875" style="18" customWidth="1"/>
    <col min="8707" max="8707" width="15.85546875" style="18" customWidth="1"/>
    <col min="8708" max="8708" width="19.5703125" style="18" customWidth="1"/>
    <col min="8709" max="8709" width="20.140625" style="18" customWidth="1"/>
    <col min="8710" max="8710" width="19.85546875" style="18" customWidth="1"/>
    <col min="8711" max="8711" width="21.42578125" style="18" customWidth="1"/>
    <col min="8712" max="8712" width="20.28515625" style="18" customWidth="1"/>
    <col min="8713" max="8713" width="13.5703125" style="18" customWidth="1"/>
    <col min="8714" max="8714" width="13.140625" style="18" customWidth="1"/>
    <col min="8715" max="8960" width="9.140625" style="18"/>
    <col min="8961" max="8961" width="44.140625" style="18" customWidth="1"/>
    <col min="8962" max="8962" width="23.85546875" style="18" customWidth="1"/>
    <col min="8963" max="8963" width="15.85546875" style="18" customWidth="1"/>
    <col min="8964" max="8964" width="19.5703125" style="18" customWidth="1"/>
    <col min="8965" max="8965" width="20.140625" style="18" customWidth="1"/>
    <col min="8966" max="8966" width="19.85546875" style="18" customWidth="1"/>
    <col min="8967" max="8967" width="21.42578125" style="18" customWidth="1"/>
    <col min="8968" max="8968" width="20.28515625" style="18" customWidth="1"/>
    <col min="8969" max="8969" width="13.5703125" style="18" customWidth="1"/>
    <col min="8970" max="8970" width="13.140625" style="18" customWidth="1"/>
    <col min="8971" max="9216" width="9.140625" style="18"/>
    <col min="9217" max="9217" width="44.140625" style="18" customWidth="1"/>
    <col min="9218" max="9218" width="23.85546875" style="18" customWidth="1"/>
    <col min="9219" max="9219" width="15.85546875" style="18" customWidth="1"/>
    <col min="9220" max="9220" width="19.5703125" style="18" customWidth="1"/>
    <col min="9221" max="9221" width="20.140625" style="18" customWidth="1"/>
    <col min="9222" max="9222" width="19.85546875" style="18" customWidth="1"/>
    <col min="9223" max="9223" width="21.42578125" style="18" customWidth="1"/>
    <col min="9224" max="9224" width="20.28515625" style="18" customWidth="1"/>
    <col min="9225" max="9225" width="13.5703125" style="18" customWidth="1"/>
    <col min="9226" max="9226" width="13.140625" style="18" customWidth="1"/>
    <col min="9227" max="9472" width="9.140625" style="18"/>
    <col min="9473" max="9473" width="44.140625" style="18" customWidth="1"/>
    <col min="9474" max="9474" width="23.85546875" style="18" customWidth="1"/>
    <col min="9475" max="9475" width="15.85546875" style="18" customWidth="1"/>
    <col min="9476" max="9476" width="19.5703125" style="18" customWidth="1"/>
    <col min="9477" max="9477" width="20.140625" style="18" customWidth="1"/>
    <col min="9478" max="9478" width="19.85546875" style="18" customWidth="1"/>
    <col min="9479" max="9479" width="21.42578125" style="18" customWidth="1"/>
    <col min="9480" max="9480" width="20.28515625" style="18" customWidth="1"/>
    <col min="9481" max="9481" width="13.5703125" style="18" customWidth="1"/>
    <col min="9482" max="9482" width="13.140625" style="18" customWidth="1"/>
    <col min="9483" max="9728" width="9.140625" style="18"/>
    <col min="9729" max="9729" width="44.140625" style="18" customWidth="1"/>
    <col min="9730" max="9730" width="23.85546875" style="18" customWidth="1"/>
    <col min="9731" max="9731" width="15.85546875" style="18" customWidth="1"/>
    <col min="9732" max="9732" width="19.5703125" style="18" customWidth="1"/>
    <col min="9733" max="9733" width="20.140625" style="18" customWidth="1"/>
    <col min="9734" max="9734" width="19.85546875" style="18" customWidth="1"/>
    <col min="9735" max="9735" width="21.42578125" style="18" customWidth="1"/>
    <col min="9736" max="9736" width="20.28515625" style="18" customWidth="1"/>
    <col min="9737" max="9737" width="13.5703125" style="18" customWidth="1"/>
    <col min="9738" max="9738" width="13.140625" style="18" customWidth="1"/>
    <col min="9739" max="9984" width="9.140625" style="18"/>
    <col min="9985" max="9985" width="44.140625" style="18" customWidth="1"/>
    <col min="9986" max="9986" width="23.85546875" style="18" customWidth="1"/>
    <col min="9987" max="9987" width="15.85546875" style="18" customWidth="1"/>
    <col min="9988" max="9988" width="19.5703125" style="18" customWidth="1"/>
    <col min="9989" max="9989" width="20.140625" style="18" customWidth="1"/>
    <col min="9990" max="9990" width="19.85546875" style="18" customWidth="1"/>
    <col min="9991" max="9991" width="21.42578125" style="18" customWidth="1"/>
    <col min="9992" max="9992" width="20.28515625" style="18" customWidth="1"/>
    <col min="9993" max="9993" width="13.5703125" style="18" customWidth="1"/>
    <col min="9994" max="9994" width="13.140625" style="18" customWidth="1"/>
    <col min="9995" max="10240" width="9.140625" style="18"/>
    <col min="10241" max="10241" width="44.140625" style="18" customWidth="1"/>
    <col min="10242" max="10242" width="23.85546875" style="18" customWidth="1"/>
    <col min="10243" max="10243" width="15.85546875" style="18" customWidth="1"/>
    <col min="10244" max="10244" width="19.5703125" style="18" customWidth="1"/>
    <col min="10245" max="10245" width="20.140625" style="18" customWidth="1"/>
    <col min="10246" max="10246" width="19.85546875" style="18" customWidth="1"/>
    <col min="10247" max="10247" width="21.42578125" style="18" customWidth="1"/>
    <col min="10248" max="10248" width="20.28515625" style="18" customWidth="1"/>
    <col min="10249" max="10249" width="13.5703125" style="18" customWidth="1"/>
    <col min="10250" max="10250" width="13.140625" style="18" customWidth="1"/>
    <col min="10251" max="10496" width="9.140625" style="18"/>
    <col min="10497" max="10497" width="44.140625" style="18" customWidth="1"/>
    <col min="10498" max="10498" width="23.85546875" style="18" customWidth="1"/>
    <col min="10499" max="10499" width="15.85546875" style="18" customWidth="1"/>
    <col min="10500" max="10500" width="19.5703125" style="18" customWidth="1"/>
    <col min="10501" max="10501" width="20.140625" style="18" customWidth="1"/>
    <col min="10502" max="10502" width="19.85546875" style="18" customWidth="1"/>
    <col min="10503" max="10503" width="21.42578125" style="18" customWidth="1"/>
    <col min="10504" max="10504" width="20.28515625" style="18" customWidth="1"/>
    <col min="10505" max="10505" width="13.5703125" style="18" customWidth="1"/>
    <col min="10506" max="10506" width="13.140625" style="18" customWidth="1"/>
    <col min="10507" max="10752" width="9.140625" style="18"/>
    <col min="10753" max="10753" width="44.140625" style="18" customWidth="1"/>
    <col min="10754" max="10754" width="23.85546875" style="18" customWidth="1"/>
    <col min="10755" max="10755" width="15.85546875" style="18" customWidth="1"/>
    <col min="10756" max="10756" width="19.5703125" style="18" customWidth="1"/>
    <col min="10757" max="10757" width="20.140625" style="18" customWidth="1"/>
    <col min="10758" max="10758" width="19.85546875" style="18" customWidth="1"/>
    <col min="10759" max="10759" width="21.42578125" style="18" customWidth="1"/>
    <col min="10760" max="10760" width="20.28515625" style="18" customWidth="1"/>
    <col min="10761" max="10761" width="13.5703125" style="18" customWidth="1"/>
    <col min="10762" max="10762" width="13.140625" style="18" customWidth="1"/>
    <col min="10763" max="11008" width="9.140625" style="18"/>
    <col min="11009" max="11009" width="44.140625" style="18" customWidth="1"/>
    <col min="11010" max="11010" width="23.85546875" style="18" customWidth="1"/>
    <col min="11011" max="11011" width="15.85546875" style="18" customWidth="1"/>
    <col min="11012" max="11012" width="19.5703125" style="18" customWidth="1"/>
    <col min="11013" max="11013" width="20.140625" style="18" customWidth="1"/>
    <col min="11014" max="11014" width="19.85546875" style="18" customWidth="1"/>
    <col min="11015" max="11015" width="21.42578125" style="18" customWidth="1"/>
    <col min="11016" max="11016" width="20.28515625" style="18" customWidth="1"/>
    <col min="11017" max="11017" width="13.5703125" style="18" customWidth="1"/>
    <col min="11018" max="11018" width="13.140625" style="18" customWidth="1"/>
    <col min="11019" max="11264" width="9.140625" style="18"/>
    <col min="11265" max="11265" width="44.140625" style="18" customWidth="1"/>
    <col min="11266" max="11266" width="23.85546875" style="18" customWidth="1"/>
    <col min="11267" max="11267" width="15.85546875" style="18" customWidth="1"/>
    <col min="11268" max="11268" width="19.5703125" style="18" customWidth="1"/>
    <col min="11269" max="11269" width="20.140625" style="18" customWidth="1"/>
    <col min="11270" max="11270" width="19.85546875" style="18" customWidth="1"/>
    <col min="11271" max="11271" width="21.42578125" style="18" customWidth="1"/>
    <col min="11272" max="11272" width="20.28515625" style="18" customWidth="1"/>
    <col min="11273" max="11273" width="13.5703125" style="18" customWidth="1"/>
    <col min="11274" max="11274" width="13.140625" style="18" customWidth="1"/>
    <col min="11275" max="11520" width="9.140625" style="18"/>
    <col min="11521" max="11521" width="44.140625" style="18" customWidth="1"/>
    <col min="11522" max="11522" width="23.85546875" style="18" customWidth="1"/>
    <col min="11523" max="11523" width="15.85546875" style="18" customWidth="1"/>
    <col min="11524" max="11524" width="19.5703125" style="18" customWidth="1"/>
    <col min="11525" max="11525" width="20.140625" style="18" customWidth="1"/>
    <col min="11526" max="11526" width="19.85546875" style="18" customWidth="1"/>
    <col min="11527" max="11527" width="21.42578125" style="18" customWidth="1"/>
    <col min="11528" max="11528" width="20.28515625" style="18" customWidth="1"/>
    <col min="11529" max="11529" width="13.5703125" style="18" customWidth="1"/>
    <col min="11530" max="11530" width="13.140625" style="18" customWidth="1"/>
    <col min="11531" max="11776" width="9.140625" style="18"/>
    <col min="11777" max="11777" width="44.140625" style="18" customWidth="1"/>
    <col min="11778" max="11778" width="23.85546875" style="18" customWidth="1"/>
    <col min="11779" max="11779" width="15.85546875" style="18" customWidth="1"/>
    <col min="11780" max="11780" width="19.5703125" style="18" customWidth="1"/>
    <col min="11781" max="11781" width="20.140625" style="18" customWidth="1"/>
    <col min="11782" max="11782" width="19.85546875" style="18" customWidth="1"/>
    <col min="11783" max="11783" width="21.42578125" style="18" customWidth="1"/>
    <col min="11784" max="11784" width="20.28515625" style="18" customWidth="1"/>
    <col min="11785" max="11785" width="13.5703125" style="18" customWidth="1"/>
    <col min="11786" max="11786" width="13.140625" style="18" customWidth="1"/>
    <col min="11787" max="12032" width="9.140625" style="18"/>
    <col min="12033" max="12033" width="44.140625" style="18" customWidth="1"/>
    <col min="12034" max="12034" width="23.85546875" style="18" customWidth="1"/>
    <col min="12035" max="12035" width="15.85546875" style="18" customWidth="1"/>
    <col min="12036" max="12036" width="19.5703125" style="18" customWidth="1"/>
    <col min="12037" max="12037" width="20.140625" style="18" customWidth="1"/>
    <col min="12038" max="12038" width="19.85546875" style="18" customWidth="1"/>
    <col min="12039" max="12039" width="21.42578125" style="18" customWidth="1"/>
    <col min="12040" max="12040" width="20.28515625" style="18" customWidth="1"/>
    <col min="12041" max="12041" width="13.5703125" style="18" customWidth="1"/>
    <col min="12042" max="12042" width="13.140625" style="18" customWidth="1"/>
    <col min="12043" max="12288" width="9.140625" style="18"/>
    <col min="12289" max="12289" width="44.140625" style="18" customWidth="1"/>
    <col min="12290" max="12290" width="23.85546875" style="18" customWidth="1"/>
    <col min="12291" max="12291" width="15.85546875" style="18" customWidth="1"/>
    <col min="12292" max="12292" width="19.5703125" style="18" customWidth="1"/>
    <col min="12293" max="12293" width="20.140625" style="18" customWidth="1"/>
    <col min="12294" max="12294" width="19.85546875" style="18" customWidth="1"/>
    <col min="12295" max="12295" width="21.42578125" style="18" customWidth="1"/>
    <col min="12296" max="12296" width="20.28515625" style="18" customWidth="1"/>
    <col min="12297" max="12297" width="13.5703125" style="18" customWidth="1"/>
    <col min="12298" max="12298" width="13.140625" style="18" customWidth="1"/>
    <col min="12299" max="12544" width="9.140625" style="18"/>
    <col min="12545" max="12545" width="44.140625" style="18" customWidth="1"/>
    <col min="12546" max="12546" width="23.85546875" style="18" customWidth="1"/>
    <col min="12547" max="12547" width="15.85546875" style="18" customWidth="1"/>
    <col min="12548" max="12548" width="19.5703125" style="18" customWidth="1"/>
    <col min="12549" max="12549" width="20.140625" style="18" customWidth="1"/>
    <col min="12550" max="12550" width="19.85546875" style="18" customWidth="1"/>
    <col min="12551" max="12551" width="21.42578125" style="18" customWidth="1"/>
    <col min="12552" max="12552" width="20.28515625" style="18" customWidth="1"/>
    <col min="12553" max="12553" width="13.5703125" style="18" customWidth="1"/>
    <col min="12554" max="12554" width="13.140625" style="18" customWidth="1"/>
    <col min="12555" max="12800" width="9.140625" style="18"/>
    <col min="12801" max="12801" width="44.140625" style="18" customWidth="1"/>
    <col min="12802" max="12802" width="23.85546875" style="18" customWidth="1"/>
    <col min="12803" max="12803" width="15.85546875" style="18" customWidth="1"/>
    <col min="12804" max="12804" width="19.5703125" style="18" customWidth="1"/>
    <col min="12805" max="12805" width="20.140625" style="18" customWidth="1"/>
    <col min="12806" max="12806" width="19.85546875" style="18" customWidth="1"/>
    <col min="12807" max="12807" width="21.42578125" style="18" customWidth="1"/>
    <col min="12808" max="12808" width="20.28515625" style="18" customWidth="1"/>
    <col min="12809" max="12809" width="13.5703125" style="18" customWidth="1"/>
    <col min="12810" max="12810" width="13.140625" style="18" customWidth="1"/>
    <col min="12811" max="13056" width="9.140625" style="18"/>
    <col min="13057" max="13057" width="44.140625" style="18" customWidth="1"/>
    <col min="13058" max="13058" width="23.85546875" style="18" customWidth="1"/>
    <col min="13059" max="13059" width="15.85546875" style="18" customWidth="1"/>
    <col min="13060" max="13060" width="19.5703125" style="18" customWidth="1"/>
    <col min="13061" max="13061" width="20.140625" style="18" customWidth="1"/>
    <col min="13062" max="13062" width="19.85546875" style="18" customWidth="1"/>
    <col min="13063" max="13063" width="21.42578125" style="18" customWidth="1"/>
    <col min="13064" max="13064" width="20.28515625" style="18" customWidth="1"/>
    <col min="13065" max="13065" width="13.5703125" style="18" customWidth="1"/>
    <col min="13066" max="13066" width="13.140625" style="18" customWidth="1"/>
    <col min="13067" max="13312" width="9.140625" style="18"/>
    <col min="13313" max="13313" width="44.140625" style="18" customWidth="1"/>
    <col min="13314" max="13314" width="23.85546875" style="18" customWidth="1"/>
    <col min="13315" max="13315" width="15.85546875" style="18" customWidth="1"/>
    <col min="13316" max="13316" width="19.5703125" style="18" customWidth="1"/>
    <col min="13317" max="13317" width="20.140625" style="18" customWidth="1"/>
    <col min="13318" max="13318" width="19.85546875" style="18" customWidth="1"/>
    <col min="13319" max="13319" width="21.42578125" style="18" customWidth="1"/>
    <col min="13320" max="13320" width="20.28515625" style="18" customWidth="1"/>
    <col min="13321" max="13321" width="13.5703125" style="18" customWidth="1"/>
    <col min="13322" max="13322" width="13.140625" style="18" customWidth="1"/>
    <col min="13323" max="13568" width="9.140625" style="18"/>
    <col min="13569" max="13569" width="44.140625" style="18" customWidth="1"/>
    <col min="13570" max="13570" width="23.85546875" style="18" customWidth="1"/>
    <col min="13571" max="13571" width="15.85546875" style="18" customWidth="1"/>
    <col min="13572" max="13572" width="19.5703125" style="18" customWidth="1"/>
    <col min="13573" max="13573" width="20.140625" style="18" customWidth="1"/>
    <col min="13574" max="13574" width="19.85546875" style="18" customWidth="1"/>
    <col min="13575" max="13575" width="21.42578125" style="18" customWidth="1"/>
    <col min="13576" max="13576" width="20.28515625" style="18" customWidth="1"/>
    <col min="13577" max="13577" width="13.5703125" style="18" customWidth="1"/>
    <col min="13578" max="13578" width="13.140625" style="18" customWidth="1"/>
    <col min="13579" max="13824" width="9.140625" style="18"/>
    <col min="13825" max="13825" width="44.140625" style="18" customWidth="1"/>
    <col min="13826" max="13826" width="23.85546875" style="18" customWidth="1"/>
    <col min="13827" max="13827" width="15.85546875" style="18" customWidth="1"/>
    <col min="13828" max="13828" width="19.5703125" style="18" customWidth="1"/>
    <col min="13829" max="13829" width="20.140625" style="18" customWidth="1"/>
    <col min="13830" max="13830" width="19.85546875" style="18" customWidth="1"/>
    <col min="13831" max="13831" width="21.42578125" style="18" customWidth="1"/>
    <col min="13832" max="13832" width="20.28515625" style="18" customWidth="1"/>
    <col min="13833" max="13833" width="13.5703125" style="18" customWidth="1"/>
    <col min="13834" max="13834" width="13.140625" style="18" customWidth="1"/>
    <col min="13835" max="14080" width="9.140625" style="18"/>
    <col min="14081" max="14081" width="44.140625" style="18" customWidth="1"/>
    <col min="14082" max="14082" width="23.85546875" style="18" customWidth="1"/>
    <col min="14083" max="14083" width="15.85546875" style="18" customWidth="1"/>
    <col min="14084" max="14084" width="19.5703125" style="18" customWidth="1"/>
    <col min="14085" max="14085" width="20.140625" style="18" customWidth="1"/>
    <col min="14086" max="14086" width="19.85546875" style="18" customWidth="1"/>
    <col min="14087" max="14087" width="21.42578125" style="18" customWidth="1"/>
    <col min="14088" max="14088" width="20.28515625" style="18" customWidth="1"/>
    <col min="14089" max="14089" width="13.5703125" style="18" customWidth="1"/>
    <col min="14090" max="14090" width="13.140625" style="18" customWidth="1"/>
    <col min="14091" max="14336" width="9.140625" style="18"/>
    <col min="14337" max="14337" width="44.140625" style="18" customWidth="1"/>
    <col min="14338" max="14338" width="23.85546875" style="18" customWidth="1"/>
    <col min="14339" max="14339" width="15.85546875" style="18" customWidth="1"/>
    <col min="14340" max="14340" width="19.5703125" style="18" customWidth="1"/>
    <col min="14341" max="14341" width="20.140625" style="18" customWidth="1"/>
    <col min="14342" max="14342" width="19.85546875" style="18" customWidth="1"/>
    <col min="14343" max="14343" width="21.42578125" style="18" customWidth="1"/>
    <col min="14344" max="14344" width="20.28515625" style="18" customWidth="1"/>
    <col min="14345" max="14345" width="13.5703125" style="18" customWidth="1"/>
    <col min="14346" max="14346" width="13.140625" style="18" customWidth="1"/>
    <col min="14347" max="14592" width="9.140625" style="18"/>
    <col min="14593" max="14593" width="44.140625" style="18" customWidth="1"/>
    <col min="14594" max="14594" width="23.85546875" style="18" customWidth="1"/>
    <col min="14595" max="14595" width="15.85546875" style="18" customWidth="1"/>
    <col min="14596" max="14596" width="19.5703125" style="18" customWidth="1"/>
    <col min="14597" max="14597" width="20.140625" style="18" customWidth="1"/>
    <col min="14598" max="14598" width="19.85546875" style="18" customWidth="1"/>
    <col min="14599" max="14599" width="21.42578125" style="18" customWidth="1"/>
    <col min="14600" max="14600" width="20.28515625" style="18" customWidth="1"/>
    <col min="14601" max="14601" width="13.5703125" style="18" customWidth="1"/>
    <col min="14602" max="14602" width="13.140625" style="18" customWidth="1"/>
    <col min="14603" max="14848" width="9.140625" style="18"/>
    <col min="14849" max="14849" width="44.140625" style="18" customWidth="1"/>
    <col min="14850" max="14850" width="23.85546875" style="18" customWidth="1"/>
    <col min="14851" max="14851" width="15.85546875" style="18" customWidth="1"/>
    <col min="14852" max="14852" width="19.5703125" style="18" customWidth="1"/>
    <col min="14853" max="14853" width="20.140625" style="18" customWidth="1"/>
    <col min="14854" max="14854" width="19.85546875" style="18" customWidth="1"/>
    <col min="14855" max="14855" width="21.42578125" style="18" customWidth="1"/>
    <col min="14856" max="14856" width="20.28515625" style="18" customWidth="1"/>
    <col min="14857" max="14857" width="13.5703125" style="18" customWidth="1"/>
    <col min="14858" max="14858" width="13.140625" style="18" customWidth="1"/>
    <col min="14859" max="15104" width="9.140625" style="18"/>
    <col min="15105" max="15105" width="44.140625" style="18" customWidth="1"/>
    <col min="15106" max="15106" width="23.85546875" style="18" customWidth="1"/>
    <col min="15107" max="15107" width="15.85546875" style="18" customWidth="1"/>
    <col min="15108" max="15108" width="19.5703125" style="18" customWidth="1"/>
    <col min="15109" max="15109" width="20.140625" style="18" customWidth="1"/>
    <col min="15110" max="15110" width="19.85546875" style="18" customWidth="1"/>
    <col min="15111" max="15111" width="21.42578125" style="18" customWidth="1"/>
    <col min="15112" max="15112" width="20.28515625" style="18" customWidth="1"/>
    <col min="15113" max="15113" width="13.5703125" style="18" customWidth="1"/>
    <col min="15114" max="15114" width="13.140625" style="18" customWidth="1"/>
    <col min="15115" max="15360" width="9.140625" style="18"/>
    <col min="15361" max="15361" width="44.140625" style="18" customWidth="1"/>
    <col min="15362" max="15362" width="23.85546875" style="18" customWidth="1"/>
    <col min="15363" max="15363" width="15.85546875" style="18" customWidth="1"/>
    <col min="15364" max="15364" width="19.5703125" style="18" customWidth="1"/>
    <col min="15365" max="15365" width="20.140625" style="18" customWidth="1"/>
    <col min="15366" max="15366" width="19.85546875" style="18" customWidth="1"/>
    <col min="15367" max="15367" width="21.42578125" style="18" customWidth="1"/>
    <col min="15368" max="15368" width="20.28515625" style="18" customWidth="1"/>
    <col min="15369" max="15369" width="13.5703125" style="18" customWidth="1"/>
    <col min="15370" max="15370" width="13.140625" style="18" customWidth="1"/>
    <col min="15371" max="15616" width="9.140625" style="18"/>
    <col min="15617" max="15617" width="44.140625" style="18" customWidth="1"/>
    <col min="15618" max="15618" width="23.85546875" style="18" customWidth="1"/>
    <col min="15619" max="15619" width="15.85546875" style="18" customWidth="1"/>
    <col min="15620" max="15620" width="19.5703125" style="18" customWidth="1"/>
    <col min="15621" max="15621" width="20.140625" style="18" customWidth="1"/>
    <col min="15622" max="15622" width="19.85546875" style="18" customWidth="1"/>
    <col min="15623" max="15623" width="21.42578125" style="18" customWidth="1"/>
    <col min="15624" max="15624" width="20.28515625" style="18" customWidth="1"/>
    <col min="15625" max="15625" width="13.5703125" style="18" customWidth="1"/>
    <col min="15626" max="15626" width="13.140625" style="18" customWidth="1"/>
    <col min="15627" max="15872" width="9.140625" style="18"/>
    <col min="15873" max="15873" width="44.140625" style="18" customWidth="1"/>
    <col min="15874" max="15874" width="23.85546875" style="18" customWidth="1"/>
    <col min="15875" max="15875" width="15.85546875" style="18" customWidth="1"/>
    <col min="15876" max="15876" width="19.5703125" style="18" customWidth="1"/>
    <col min="15877" max="15877" width="20.140625" style="18" customWidth="1"/>
    <col min="15878" max="15878" width="19.85546875" style="18" customWidth="1"/>
    <col min="15879" max="15879" width="21.42578125" style="18" customWidth="1"/>
    <col min="15880" max="15880" width="20.28515625" style="18" customWidth="1"/>
    <col min="15881" max="15881" width="13.5703125" style="18" customWidth="1"/>
    <col min="15882" max="15882" width="13.140625" style="18" customWidth="1"/>
    <col min="15883" max="16128" width="9.140625" style="18"/>
    <col min="16129" max="16129" width="44.140625" style="18" customWidth="1"/>
    <col min="16130" max="16130" width="23.85546875" style="18" customWidth="1"/>
    <col min="16131" max="16131" width="15.85546875" style="18" customWidth="1"/>
    <col min="16132" max="16132" width="19.5703125" style="18" customWidth="1"/>
    <col min="16133" max="16133" width="20.140625" style="18" customWidth="1"/>
    <col min="16134" max="16134" width="19.85546875" style="18" customWidth="1"/>
    <col min="16135" max="16135" width="21.42578125" style="18" customWidth="1"/>
    <col min="16136" max="16136" width="20.28515625" style="18" customWidth="1"/>
    <col min="16137" max="16137" width="13.5703125" style="18" customWidth="1"/>
    <col min="16138" max="16138" width="13.140625" style="18" customWidth="1"/>
    <col min="16139" max="16384" width="9.140625" style="18"/>
  </cols>
  <sheetData>
    <row r="1" spans="1:10" ht="18.75" hidden="1" customHeight="1" thickBot="1">
      <c r="A1" s="200" t="s">
        <v>12</v>
      </c>
      <c r="B1" s="200"/>
      <c r="C1" s="200"/>
      <c r="D1" s="200"/>
      <c r="E1" s="200"/>
      <c r="F1" s="200"/>
      <c r="G1" s="200"/>
      <c r="H1" s="200"/>
      <c r="I1" s="201"/>
      <c r="J1" s="201"/>
    </row>
    <row r="2" spans="1:10" s="24" customFormat="1" ht="35.1" customHeight="1" thickBot="1">
      <c r="A2" s="208" t="s">
        <v>254</v>
      </c>
      <c r="B2" s="209"/>
      <c r="C2" s="209"/>
      <c r="D2" s="209"/>
      <c r="E2" s="209"/>
      <c r="F2" s="209"/>
      <c r="G2" s="209"/>
      <c r="H2" s="209"/>
      <c r="I2" s="209"/>
      <c r="J2" s="210"/>
    </row>
    <row r="3" spans="1:10" ht="15" customHeight="1">
      <c r="A3" s="202" t="s">
        <v>0</v>
      </c>
      <c r="B3" s="204" t="s">
        <v>75</v>
      </c>
      <c r="C3" s="204" t="s">
        <v>1</v>
      </c>
      <c r="D3" s="204" t="s">
        <v>2</v>
      </c>
      <c r="E3" s="204" t="s">
        <v>3</v>
      </c>
      <c r="F3" s="204" t="s">
        <v>78</v>
      </c>
      <c r="G3" s="204" t="s">
        <v>4</v>
      </c>
      <c r="H3" s="206"/>
      <c r="I3" s="207"/>
      <c r="J3" s="17"/>
    </row>
    <row r="4" spans="1:10" ht="30.75" thickBot="1">
      <c r="A4" s="203"/>
      <c r="B4" s="205"/>
      <c r="C4" s="205"/>
      <c r="D4" s="205"/>
      <c r="E4" s="205"/>
      <c r="F4" s="205"/>
      <c r="G4" s="205"/>
      <c r="H4" s="19" t="s">
        <v>77</v>
      </c>
      <c r="I4" s="19" t="s">
        <v>76</v>
      </c>
      <c r="J4" s="20" t="s">
        <v>10</v>
      </c>
    </row>
    <row r="5" spans="1:10" s="23" customFormat="1" ht="24.95" customHeight="1" thickBot="1">
      <c r="A5" s="220" t="s">
        <v>24</v>
      </c>
      <c r="B5" s="221"/>
      <c r="C5" s="221"/>
      <c r="D5" s="221"/>
      <c r="E5" s="221"/>
      <c r="F5" s="221"/>
      <c r="G5" s="221"/>
      <c r="H5" s="221"/>
      <c r="I5" s="221"/>
      <c r="J5" s="222"/>
    </row>
    <row r="6" spans="1:10" s="124" customFormat="1" ht="16.5" customHeight="1">
      <c r="A6" s="125" t="s">
        <v>49</v>
      </c>
      <c r="B6" s="115">
        <f t="shared" ref="B6:B133" si="0">C6/1.2</f>
        <v>425</v>
      </c>
      <c r="C6" s="119">
        <v>510</v>
      </c>
      <c r="D6" s="120"/>
      <c r="E6" s="105">
        <v>374.9</v>
      </c>
      <c r="F6" s="109">
        <f>B6*E6</f>
        <v>159332.5</v>
      </c>
      <c r="G6" s="123" t="s">
        <v>5</v>
      </c>
      <c r="H6" s="121">
        <f t="shared" ref="H6:H63" si="1">B6+I6</f>
        <v>425</v>
      </c>
      <c r="I6" s="120"/>
      <c r="J6" s="122"/>
    </row>
    <row r="7" spans="1:10" s="124" customFormat="1" ht="16.5" customHeight="1">
      <c r="A7" s="125" t="s">
        <v>88</v>
      </c>
      <c r="B7" s="115">
        <f t="shared" ref="B7:B9" si="2">C7/1.2</f>
        <v>433.33333333333337</v>
      </c>
      <c r="C7" s="119">
        <v>520</v>
      </c>
      <c r="D7" s="120"/>
      <c r="E7" s="105">
        <v>29.4</v>
      </c>
      <c r="F7" s="109">
        <f t="shared" ref="F7:F9" si="3">B7*E7</f>
        <v>12740</v>
      </c>
      <c r="G7" s="123" t="s">
        <v>5</v>
      </c>
      <c r="H7" s="121">
        <f t="shared" ref="H7:H9" si="4">B7+I7</f>
        <v>433.33333333333337</v>
      </c>
      <c r="I7" s="120"/>
      <c r="J7" s="122"/>
    </row>
    <row r="8" spans="1:10" s="124" customFormat="1" ht="16.5" customHeight="1">
      <c r="A8" s="125" t="s">
        <v>56</v>
      </c>
      <c r="B8" s="115">
        <f t="shared" si="2"/>
        <v>425</v>
      </c>
      <c r="C8" s="119">
        <v>510</v>
      </c>
      <c r="D8" s="120"/>
      <c r="E8" s="105">
        <v>53.1</v>
      </c>
      <c r="F8" s="109">
        <f t="shared" si="3"/>
        <v>22567.5</v>
      </c>
      <c r="G8" s="123" t="s">
        <v>5</v>
      </c>
      <c r="H8" s="121">
        <f t="shared" si="4"/>
        <v>425</v>
      </c>
      <c r="I8" s="120"/>
      <c r="J8" s="122"/>
    </row>
    <row r="9" spans="1:10" s="124" customFormat="1" ht="16.5" customHeight="1">
      <c r="A9" s="125" t="s">
        <v>161</v>
      </c>
      <c r="B9" s="115">
        <f t="shared" si="2"/>
        <v>433.33333333333337</v>
      </c>
      <c r="C9" s="119">
        <v>520</v>
      </c>
      <c r="D9" s="120"/>
      <c r="E9" s="105">
        <v>196.5</v>
      </c>
      <c r="F9" s="109">
        <f t="shared" si="3"/>
        <v>85150.000000000015</v>
      </c>
      <c r="G9" s="123" t="s">
        <v>5</v>
      </c>
      <c r="H9" s="121">
        <f t="shared" si="4"/>
        <v>433.33333333333337</v>
      </c>
      <c r="I9" s="120"/>
      <c r="J9" s="122"/>
    </row>
    <row r="10" spans="1:10" s="124" customFormat="1" ht="16.5" customHeight="1">
      <c r="A10" s="125" t="s">
        <v>92</v>
      </c>
      <c r="B10" s="115">
        <f t="shared" ref="B10" si="5">C10/1.2</f>
        <v>425</v>
      </c>
      <c r="C10" s="119">
        <v>510</v>
      </c>
      <c r="D10" s="120"/>
      <c r="E10" s="105">
        <v>235</v>
      </c>
      <c r="F10" s="109">
        <f t="shared" ref="F10:F18" si="6">B10*E10</f>
        <v>99875</v>
      </c>
      <c r="G10" s="123" t="s">
        <v>5</v>
      </c>
      <c r="H10" s="121">
        <f t="shared" ref="H10" si="7">B10+I10</f>
        <v>425</v>
      </c>
      <c r="I10" s="120"/>
      <c r="J10" s="122"/>
    </row>
    <row r="11" spans="1:10" ht="16.5" customHeight="1">
      <c r="A11" s="57" t="s">
        <v>17</v>
      </c>
      <c r="B11" s="115">
        <f t="shared" si="0"/>
        <v>383.33333333333337</v>
      </c>
      <c r="C11" s="56">
        <v>460</v>
      </c>
      <c r="D11" s="8"/>
      <c r="E11" s="105">
        <v>1430.9</v>
      </c>
      <c r="F11" s="109">
        <f t="shared" si="6"/>
        <v>548511.66666666674</v>
      </c>
      <c r="G11" s="41" t="s">
        <v>5</v>
      </c>
      <c r="H11" s="22">
        <f t="shared" si="1"/>
        <v>383.33333333333337</v>
      </c>
      <c r="I11" s="8"/>
      <c r="J11" s="7"/>
    </row>
    <row r="12" spans="1:10" ht="16.5" customHeight="1">
      <c r="A12" s="57" t="s">
        <v>248</v>
      </c>
      <c r="B12" s="115">
        <f t="shared" si="0"/>
        <v>383.33333333333337</v>
      </c>
      <c r="C12" s="56">
        <v>460</v>
      </c>
      <c r="D12" s="8"/>
      <c r="E12" s="105">
        <v>385.2</v>
      </c>
      <c r="F12" s="109">
        <f t="shared" si="6"/>
        <v>147660</v>
      </c>
      <c r="G12" s="41" t="s">
        <v>5</v>
      </c>
      <c r="H12" s="22">
        <f t="shared" si="1"/>
        <v>383.33333333333337</v>
      </c>
      <c r="I12" s="8"/>
      <c r="J12" s="7"/>
    </row>
    <row r="13" spans="1:10" ht="16.5" customHeight="1">
      <c r="A13" s="57" t="s">
        <v>172</v>
      </c>
      <c r="B13" s="115">
        <f t="shared" si="0"/>
        <v>416.66666666666669</v>
      </c>
      <c r="C13" s="56">
        <v>500</v>
      </c>
      <c r="D13" s="8"/>
      <c r="E13" s="105">
        <v>183.4</v>
      </c>
      <c r="F13" s="109">
        <f t="shared" si="6"/>
        <v>76416.666666666672</v>
      </c>
      <c r="G13" s="41" t="s">
        <v>5</v>
      </c>
      <c r="H13" s="22">
        <f t="shared" si="1"/>
        <v>416.66666666666669</v>
      </c>
      <c r="I13" s="8"/>
      <c r="J13" s="7"/>
    </row>
    <row r="14" spans="1:10" ht="16.5" customHeight="1">
      <c r="A14" s="57" t="s">
        <v>255</v>
      </c>
      <c r="B14" s="115">
        <f t="shared" si="0"/>
        <v>383.33333333333337</v>
      </c>
      <c r="C14" s="56">
        <v>460</v>
      </c>
      <c r="D14" s="8"/>
      <c r="E14" s="105">
        <v>555.9</v>
      </c>
      <c r="F14" s="109">
        <f t="shared" si="6"/>
        <v>213095</v>
      </c>
      <c r="G14" s="41" t="s">
        <v>5</v>
      </c>
      <c r="H14" s="22">
        <f t="shared" si="1"/>
        <v>383.33333333333337</v>
      </c>
      <c r="I14" s="8"/>
      <c r="J14" s="7"/>
    </row>
    <row r="15" spans="1:10" ht="16.5" customHeight="1">
      <c r="A15" s="57" t="s">
        <v>224</v>
      </c>
      <c r="B15" s="115">
        <f t="shared" si="0"/>
        <v>433.33333333333337</v>
      </c>
      <c r="C15" s="56">
        <v>520</v>
      </c>
      <c r="D15" s="8"/>
      <c r="E15" s="105">
        <v>61</v>
      </c>
      <c r="F15" s="109">
        <f t="shared" si="6"/>
        <v>26433.333333333336</v>
      </c>
      <c r="G15" s="41" t="s">
        <v>5</v>
      </c>
      <c r="H15" s="22">
        <f t="shared" si="1"/>
        <v>433.33333333333337</v>
      </c>
      <c r="I15" s="8"/>
      <c r="J15" s="7"/>
    </row>
    <row r="16" spans="1:10" ht="16.5" customHeight="1">
      <c r="A16" s="57" t="s">
        <v>156</v>
      </c>
      <c r="B16" s="115">
        <f t="shared" si="0"/>
        <v>433.33333333333337</v>
      </c>
      <c r="C16" s="56">
        <v>520</v>
      </c>
      <c r="D16" s="8"/>
      <c r="E16" s="105">
        <v>233.4</v>
      </c>
      <c r="F16" s="109">
        <f t="shared" si="6"/>
        <v>101140.00000000001</v>
      </c>
      <c r="G16" s="41" t="s">
        <v>5</v>
      </c>
      <c r="H16" s="22">
        <f t="shared" si="1"/>
        <v>433.33333333333337</v>
      </c>
      <c r="I16" s="8"/>
      <c r="J16" s="7"/>
    </row>
    <row r="17" spans="1:10" ht="16.5" customHeight="1">
      <c r="A17" s="57" t="s">
        <v>268</v>
      </c>
      <c r="B17" s="115">
        <f t="shared" si="0"/>
        <v>433.33333333333337</v>
      </c>
      <c r="C17" s="56">
        <v>520</v>
      </c>
      <c r="D17" s="8"/>
      <c r="E17" s="105">
        <v>28.2</v>
      </c>
      <c r="F17" s="109">
        <f t="shared" si="6"/>
        <v>12220</v>
      </c>
      <c r="G17" s="41" t="s">
        <v>5</v>
      </c>
      <c r="H17" s="22">
        <f t="shared" si="1"/>
        <v>433.33333333333337</v>
      </c>
      <c r="I17" s="8"/>
      <c r="J17" s="7"/>
    </row>
    <row r="18" spans="1:10" ht="16.5" customHeight="1">
      <c r="A18" s="57" t="s">
        <v>192</v>
      </c>
      <c r="B18" s="115">
        <f t="shared" si="0"/>
        <v>425</v>
      </c>
      <c r="C18" s="56">
        <v>510</v>
      </c>
      <c r="D18" s="8"/>
      <c r="E18" s="105">
        <v>50.3</v>
      </c>
      <c r="F18" s="109">
        <f t="shared" si="6"/>
        <v>21377.5</v>
      </c>
      <c r="G18" s="41" t="s">
        <v>5</v>
      </c>
      <c r="H18" s="22">
        <f t="shared" si="1"/>
        <v>425</v>
      </c>
      <c r="I18" s="8"/>
      <c r="J18" s="7"/>
    </row>
    <row r="19" spans="1:10" ht="16.5" hidden="1" customHeight="1">
      <c r="A19" s="57" t="s">
        <v>118</v>
      </c>
      <c r="B19" s="115" t="e">
        <f>F19/E19</f>
        <v>#DIV/0!</v>
      </c>
      <c r="C19" s="56" t="e">
        <f>B19*1.2</f>
        <v>#DIV/0!</v>
      </c>
      <c r="D19" s="55"/>
      <c r="E19" s="105"/>
      <c r="F19" s="109">
        <v>0</v>
      </c>
      <c r="G19" s="41" t="s">
        <v>5</v>
      </c>
      <c r="H19" s="22" t="e">
        <f t="shared" si="1"/>
        <v>#DIV/0!</v>
      </c>
      <c r="I19" s="8">
        <f>427/1.2</f>
        <v>355.83333333333337</v>
      </c>
      <c r="J19" s="7"/>
    </row>
    <row r="20" spans="1:10" ht="16.5" customHeight="1">
      <c r="A20" s="57" t="s">
        <v>187</v>
      </c>
      <c r="B20" s="115">
        <f t="shared" ref="B20" si="8">C20/1.2</f>
        <v>425</v>
      </c>
      <c r="C20" s="56">
        <v>510</v>
      </c>
      <c r="D20" s="55"/>
      <c r="E20" s="105">
        <v>167.9</v>
      </c>
      <c r="F20" s="109">
        <f t="shared" ref="F20" si="9">E20*B20</f>
        <v>71357.5</v>
      </c>
      <c r="G20" s="41" t="s">
        <v>5</v>
      </c>
      <c r="H20" s="22">
        <f t="shared" ref="H20" si="10">B20+I20</f>
        <v>425</v>
      </c>
      <c r="I20" s="8"/>
      <c r="J20" s="7"/>
    </row>
    <row r="21" spans="1:10" ht="16.5" customHeight="1">
      <c r="A21" s="57" t="s">
        <v>167</v>
      </c>
      <c r="B21" s="115">
        <f t="shared" ref="B21" si="11">C21/1.2</f>
        <v>433.33333333333337</v>
      </c>
      <c r="C21" s="56">
        <v>520</v>
      </c>
      <c r="D21" s="55"/>
      <c r="E21" s="105">
        <v>11.7</v>
      </c>
      <c r="F21" s="109">
        <f t="shared" ref="F21" si="12">E21*B21</f>
        <v>5070</v>
      </c>
      <c r="G21" s="41" t="s">
        <v>5</v>
      </c>
      <c r="H21" s="22">
        <f t="shared" si="1"/>
        <v>433.33333333333337</v>
      </c>
      <c r="I21" s="8"/>
      <c r="J21" s="7"/>
    </row>
    <row r="22" spans="1:10" ht="16.5" customHeight="1">
      <c r="A22" s="57" t="s">
        <v>221</v>
      </c>
      <c r="B22" s="115">
        <f t="shared" si="0"/>
        <v>425</v>
      </c>
      <c r="C22" s="56">
        <v>510</v>
      </c>
      <c r="D22" s="8"/>
      <c r="E22" s="105">
        <v>42.3</v>
      </c>
      <c r="F22" s="109">
        <f t="shared" ref="F22:F98" si="13">E22*B22</f>
        <v>17977.5</v>
      </c>
      <c r="G22" s="41" t="s">
        <v>5</v>
      </c>
      <c r="H22" s="22">
        <f t="shared" ref="H22:H57" si="14">B22+I22</f>
        <v>425</v>
      </c>
      <c r="I22" s="8"/>
      <c r="J22" s="7"/>
    </row>
    <row r="23" spans="1:10" ht="16.5" customHeight="1">
      <c r="A23" s="57" t="s">
        <v>43</v>
      </c>
      <c r="B23" s="115">
        <f t="shared" si="0"/>
        <v>425</v>
      </c>
      <c r="C23" s="56">
        <v>510</v>
      </c>
      <c r="D23" s="8"/>
      <c r="E23" s="105">
        <v>161.1</v>
      </c>
      <c r="F23" s="109">
        <f t="shared" si="13"/>
        <v>68467.5</v>
      </c>
      <c r="G23" s="41" t="s">
        <v>5</v>
      </c>
      <c r="H23" s="22">
        <f t="shared" si="14"/>
        <v>425</v>
      </c>
      <c r="I23" s="8"/>
      <c r="J23" s="7"/>
    </row>
    <row r="24" spans="1:10" ht="16.5" hidden="1" customHeight="1">
      <c r="A24" s="57" t="s">
        <v>106</v>
      </c>
      <c r="B24" s="115">
        <f t="shared" si="0"/>
        <v>433.33333333333337</v>
      </c>
      <c r="C24" s="56">
        <v>520</v>
      </c>
      <c r="D24" s="8"/>
      <c r="E24" s="105"/>
      <c r="F24" s="109">
        <f t="shared" ref="F24" si="15">E24*B24</f>
        <v>0</v>
      </c>
      <c r="G24" s="41" t="s">
        <v>5</v>
      </c>
      <c r="H24" s="22">
        <f t="shared" ref="H24" si="16">B24+I24</f>
        <v>433.33333333333337</v>
      </c>
      <c r="I24" s="8"/>
      <c r="J24" s="7"/>
    </row>
    <row r="25" spans="1:10" ht="16.5" hidden="1" customHeight="1">
      <c r="A25" s="57" t="s">
        <v>168</v>
      </c>
      <c r="B25" s="115">
        <f t="shared" ref="B25:B26" si="17">C25/1.2</f>
        <v>433.33333333333337</v>
      </c>
      <c r="C25" s="56">
        <v>520</v>
      </c>
      <c r="D25" s="8"/>
      <c r="E25" s="105"/>
      <c r="F25" s="109">
        <f t="shared" si="13"/>
        <v>0</v>
      </c>
      <c r="G25" s="41" t="s">
        <v>5</v>
      </c>
      <c r="H25" s="22">
        <f t="shared" si="14"/>
        <v>433.33333333333337</v>
      </c>
      <c r="I25" s="8"/>
      <c r="J25" s="7"/>
    </row>
    <row r="26" spans="1:10" ht="16.5" hidden="1" customHeight="1">
      <c r="A26" s="57" t="s">
        <v>135</v>
      </c>
      <c r="B26" s="115">
        <f t="shared" si="17"/>
        <v>0</v>
      </c>
      <c r="C26" s="56"/>
      <c r="D26" s="8"/>
      <c r="E26" s="105"/>
      <c r="F26" s="109">
        <f t="shared" ref="F26" si="18">E26*B26</f>
        <v>0</v>
      </c>
      <c r="G26" s="41" t="s">
        <v>5</v>
      </c>
      <c r="H26" s="22">
        <f t="shared" ref="H26" si="19">B26+I26</f>
        <v>0</v>
      </c>
      <c r="I26" s="8"/>
      <c r="J26" s="7"/>
    </row>
    <row r="27" spans="1:10" ht="16.5" customHeight="1">
      <c r="A27" s="57" t="s">
        <v>34</v>
      </c>
      <c r="B27" s="115">
        <f>F27/E27</f>
        <v>402.86746274359956</v>
      </c>
      <c r="C27" s="56">
        <f>B27*1.2</f>
        <v>483.44095529231947</v>
      </c>
      <c r="D27" s="55"/>
      <c r="E27" s="105">
        <v>523.4</v>
      </c>
      <c r="F27" s="109">
        <v>210860.83</v>
      </c>
      <c r="G27" s="41" t="s">
        <v>5</v>
      </c>
      <c r="H27" s="22">
        <f t="shared" si="14"/>
        <v>402.86746274359956</v>
      </c>
      <c r="I27" s="8"/>
      <c r="J27" s="7"/>
    </row>
    <row r="28" spans="1:10" ht="16.5" customHeight="1">
      <c r="A28" s="57" t="s">
        <v>236</v>
      </c>
      <c r="B28" s="115">
        <f t="shared" si="0"/>
        <v>400</v>
      </c>
      <c r="C28" s="56">
        <v>480</v>
      </c>
      <c r="D28" s="8"/>
      <c r="E28" s="105">
        <v>376.1</v>
      </c>
      <c r="F28" s="109">
        <f t="shared" si="13"/>
        <v>150440</v>
      </c>
      <c r="G28" s="41" t="s">
        <v>5</v>
      </c>
      <c r="H28" s="22">
        <f t="shared" si="14"/>
        <v>400</v>
      </c>
      <c r="I28" s="8"/>
      <c r="J28" s="7"/>
    </row>
    <row r="29" spans="1:10" ht="16.5" customHeight="1">
      <c r="A29" s="57" t="s">
        <v>47</v>
      </c>
      <c r="B29" s="115">
        <f t="shared" si="0"/>
        <v>425</v>
      </c>
      <c r="C29" s="56">
        <v>510</v>
      </c>
      <c r="D29" s="8"/>
      <c r="E29" s="105">
        <v>225.3</v>
      </c>
      <c r="F29" s="109">
        <f t="shared" ref="F29:F31" si="20">E29*B29</f>
        <v>95752.5</v>
      </c>
      <c r="G29" s="41" t="s">
        <v>5</v>
      </c>
      <c r="H29" s="22">
        <f t="shared" ref="H29:H37" si="21">B29+I29</f>
        <v>425</v>
      </c>
      <c r="I29" s="8"/>
      <c r="J29" s="7"/>
    </row>
    <row r="30" spans="1:10" ht="16.5" hidden="1" customHeight="1">
      <c r="A30" s="57" t="s">
        <v>134</v>
      </c>
      <c r="B30" s="115">
        <f t="shared" si="0"/>
        <v>425</v>
      </c>
      <c r="C30" s="56">
        <v>510</v>
      </c>
      <c r="D30" s="8"/>
      <c r="E30" s="105"/>
      <c r="F30" s="109">
        <f t="shared" si="20"/>
        <v>0</v>
      </c>
      <c r="G30" s="41" t="s">
        <v>5</v>
      </c>
      <c r="H30" s="22">
        <f t="shared" si="21"/>
        <v>425</v>
      </c>
      <c r="I30" s="8"/>
      <c r="J30" s="7"/>
    </row>
    <row r="31" spans="1:10" ht="16.5" customHeight="1">
      <c r="A31" s="57" t="s">
        <v>20</v>
      </c>
      <c r="B31" s="115">
        <f t="shared" si="0"/>
        <v>383.33333333333337</v>
      </c>
      <c r="C31" s="56">
        <v>460</v>
      </c>
      <c r="D31" s="8"/>
      <c r="E31" s="105">
        <v>30.9</v>
      </c>
      <c r="F31" s="109">
        <f t="shared" si="20"/>
        <v>11845</v>
      </c>
      <c r="G31" s="41" t="s">
        <v>5</v>
      </c>
      <c r="H31" s="22">
        <f t="shared" si="21"/>
        <v>383.33333333333337</v>
      </c>
      <c r="I31" s="8"/>
      <c r="J31" s="7"/>
    </row>
    <row r="32" spans="1:10" ht="16.5" customHeight="1">
      <c r="A32" s="57" t="s">
        <v>52</v>
      </c>
      <c r="B32" s="115">
        <f t="shared" si="0"/>
        <v>425</v>
      </c>
      <c r="C32" s="56">
        <v>510</v>
      </c>
      <c r="D32" s="8"/>
      <c r="E32" s="105">
        <v>166.5</v>
      </c>
      <c r="F32" s="109">
        <f t="shared" ref="F32:F34" si="22">E32*B32</f>
        <v>70762.5</v>
      </c>
      <c r="G32" s="41" t="s">
        <v>5</v>
      </c>
      <c r="H32" s="22">
        <f t="shared" si="21"/>
        <v>425</v>
      </c>
      <c r="I32" s="8"/>
      <c r="J32" s="7"/>
    </row>
    <row r="33" spans="1:10" ht="16.5" customHeight="1">
      <c r="A33" s="57" t="s">
        <v>170</v>
      </c>
      <c r="B33" s="115">
        <f t="shared" si="0"/>
        <v>433.33333333333337</v>
      </c>
      <c r="C33" s="56">
        <v>520</v>
      </c>
      <c r="D33" s="8"/>
      <c r="E33" s="105">
        <v>58.9</v>
      </c>
      <c r="F33" s="109">
        <f t="shared" si="22"/>
        <v>25523.333333333336</v>
      </c>
      <c r="G33" s="41" t="s">
        <v>5</v>
      </c>
      <c r="H33" s="22">
        <f t="shared" si="21"/>
        <v>433.33333333333337</v>
      </c>
      <c r="I33" s="8"/>
      <c r="J33" s="7"/>
    </row>
    <row r="34" spans="1:10" ht="16.5" customHeight="1">
      <c r="A34" s="57" t="s">
        <v>256</v>
      </c>
      <c r="B34" s="115">
        <f t="shared" si="0"/>
        <v>433.33333333333337</v>
      </c>
      <c r="C34" s="56">
        <v>520</v>
      </c>
      <c r="D34" s="8"/>
      <c r="E34" s="105">
        <v>39</v>
      </c>
      <c r="F34" s="109">
        <f t="shared" si="22"/>
        <v>16900</v>
      </c>
      <c r="G34" s="41" t="s">
        <v>5</v>
      </c>
      <c r="H34" s="22">
        <f t="shared" si="21"/>
        <v>433.33333333333337</v>
      </c>
      <c r="I34" s="8"/>
      <c r="J34" s="7"/>
    </row>
    <row r="35" spans="1:10" ht="16.5" customHeight="1">
      <c r="A35" s="57" t="s">
        <v>121</v>
      </c>
      <c r="B35" s="115">
        <f>F35/E35</f>
        <v>432.30670908039326</v>
      </c>
      <c r="C35" s="56">
        <f>B35*1.2</f>
        <v>518.76805089647189</v>
      </c>
      <c r="D35" s="55"/>
      <c r="E35" s="105">
        <v>172.9</v>
      </c>
      <c r="F35" s="109">
        <v>74745.83</v>
      </c>
      <c r="G35" s="41" t="s">
        <v>5</v>
      </c>
      <c r="H35" s="22">
        <f t="shared" si="21"/>
        <v>432.30670908039326</v>
      </c>
      <c r="I35" s="8"/>
      <c r="J35" s="7"/>
    </row>
    <row r="36" spans="1:10" ht="16.5" customHeight="1">
      <c r="A36" s="57" t="s">
        <v>243</v>
      </c>
      <c r="B36" s="115">
        <f t="shared" ref="B36:B37" si="23">C36/1.2</f>
        <v>416.66666666666669</v>
      </c>
      <c r="C36" s="56">
        <v>500</v>
      </c>
      <c r="D36" s="55"/>
      <c r="E36" s="105">
        <v>71.099999999999994</v>
      </c>
      <c r="F36" s="109">
        <f t="shared" ref="F36" si="24">E36*B36</f>
        <v>29625</v>
      </c>
      <c r="G36" s="41" t="s">
        <v>5</v>
      </c>
      <c r="H36" s="22">
        <f t="shared" ref="H36" si="25">B36+I36</f>
        <v>416.66666666666669</v>
      </c>
      <c r="I36" s="8"/>
      <c r="J36" s="7"/>
    </row>
    <row r="37" spans="1:10" ht="16.5" customHeight="1">
      <c r="A37" s="57" t="s">
        <v>232</v>
      </c>
      <c r="B37" s="115">
        <f t="shared" si="23"/>
        <v>425</v>
      </c>
      <c r="C37" s="56">
        <v>510</v>
      </c>
      <c r="D37" s="8"/>
      <c r="E37" s="105">
        <v>17.2</v>
      </c>
      <c r="F37" s="109">
        <f t="shared" ref="F37" si="26">E37*B37</f>
        <v>7310</v>
      </c>
      <c r="G37" s="41" t="s">
        <v>5</v>
      </c>
      <c r="H37" s="22">
        <f t="shared" si="21"/>
        <v>425</v>
      </c>
      <c r="I37" s="8"/>
      <c r="J37" s="7"/>
    </row>
    <row r="38" spans="1:10" ht="16.5" customHeight="1">
      <c r="A38" s="57" t="s">
        <v>149</v>
      </c>
      <c r="B38" s="115">
        <f t="shared" si="0"/>
        <v>433.33333333333337</v>
      </c>
      <c r="C38" s="56">
        <v>520</v>
      </c>
      <c r="D38" s="8"/>
      <c r="E38" s="105">
        <v>884.5</v>
      </c>
      <c r="F38" s="109">
        <f t="shared" si="13"/>
        <v>383283.33333333337</v>
      </c>
      <c r="G38" s="41" t="s">
        <v>5</v>
      </c>
      <c r="H38" s="22">
        <f t="shared" si="14"/>
        <v>433.33333333333337</v>
      </c>
      <c r="I38" s="8"/>
      <c r="J38" s="7"/>
    </row>
    <row r="39" spans="1:10" ht="16.5" hidden="1" customHeight="1">
      <c r="A39" s="57" t="s">
        <v>193</v>
      </c>
      <c r="B39" s="115">
        <f t="shared" ref="B39:B42" si="27">C39/1.2</f>
        <v>433.33333333333337</v>
      </c>
      <c r="C39" s="56">
        <v>520</v>
      </c>
      <c r="D39" s="8"/>
      <c r="E39" s="105"/>
      <c r="F39" s="109">
        <f>E39*B39</f>
        <v>0</v>
      </c>
      <c r="G39" s="41" t="s">
        <v>5</v>
      </c>
      <c r="H39" s="22">
        <f t="shared" ref="H39:H42" si="28">B39+I39</f>
        <v>433.33333333333337</v>
      </c>
      <c r="I39" s="8"/>
      <c r="J39" s="7"/>
    </row>
    <row r="40" spans="1:10" ht="16.5" customHeight="1">
      <c r="A40" s="57" t="s">
        <v>112</v>
      </c>
      <c r="B40" s="115">
        <f t="shared" si="27"/>
        <v>433.33333333333337</v>
      </c>
      <c r="C40" s="56">
        <v>520</v>
      </c>
      <c r="D40" s="8"/>
      <c r="E40" s="105">
        <v>55</v>
      </c>
      <c r="F40" s="109">
        <f>E40*B40</f>
        <v>23833.333333333336</v>
      </c>
      <c r="G40" s="41" t="s">
        <v>5</v>
      </c>
      <c r="H40" s="22">
        <f t="shared" si="28"/>
        <v>433.33333333333337</v>
      </c>
      <c r="I40" s="8"/>
      <c r="J40" s="7"/>
    </row>
    <row r="41" spans="1:10" ht="16.5" customHeight="1">
      <c r="A41" s="57" t="s">
        <v>233</v>
      </c>
      <c r="B41" s="115">
        <f t="shared" si="27"/>
        <v>433.33333333333337</v>
      </c>
      <c r="C41" s="56">
        <v>520</v>
      </c>
      <c r="D41" s="8"/>
      <c r="E41" s="105">
        <v>25.4</v>
      </c>
      <c r="F41" s="109">
        <f>E41*B41</f>
        <v>11006.666666666668</v>
      </c>
      <c r="G41" s="41" t="s">
        <v>5</v>
      </c>
      <c r="H41" s="22">
        <f t="shared" si="28"/>
        <v>433.33333333333337</v>
      </c>
      <c r="I41" s="8"/>
      <c r="J41" s="7"/>
    </row>
    <row r="42" spans="1:10" ht="16.5" customHeight="1">
      <c r="A42" s="57" t="s">
        <v>210</v>
      </c>
      <c r="B42" s="115">
        <f t="shared" si="27"/>
        <v>433.33333333333337</v>
      </c>
      <c r="C42" s="56">
        <v>520</v>
      </c>
      <c r="D42" s="8"/>
      <c r="E42" s="105">
        <v>29.2</v>
      </c>
      <c r="F42" s="109">
        <f>E42*B42</f>
        <v>12653.333333333334</v>
      </c>
      <c r="G42" s="41" t="s">
        <v>5</v>
      </c>
      <c r="H42" s="22">
        <f t="shared" si="28"/>
        <v>433.33333333333337</v>
      </c>
      <c r="I42" s="8"/>
      <c r="J42" s="7"/>
    </row>
    <row r="43" spans="1:10" ht="16.5" customHeight="1">
      <c r="A43" s="57" t="s">
        <v>257</v>
      </c>
      <c r="B43" s="115">
        <f t="shared" ref="B43" si="29">C43/1.2</f>
        <v>400</v>
      </c>
      <c r="C43" s="56">
        <v>480</v>
      </c>
      <c r="D43" s="8"/>
      <c r="E43" s="105">
        <v>32.9</v>
      </c>
      <c r="F43" s="109">
        <f t="shared" ref="F43" si="30">E43*B43</f>
        <v>13160</v>
      </c>
      <c r="G43" s="41" t="s">
        <v>5</v>
      </c>
      <c r="H43" s="22">
        <f t="shared" ref="H43:H44" si="31">B43+I43</f>
        <v>400</v>
      </c>
      <c r="I43" s="8"/>
      <c r="J43" s="7"/>
    </row>
    <row r="44" spans="1:10" ht="16.5" customHeight="1">
      <c r="A44" s="57" t="s">
        <v>64</v>
      </c>
      <c r="B44" s="115">
        <f>F44/E44</f>
        <v>384.16667499375473</v>
      </c>
      <c r="C44" s="56">
        <f>B44*1.2</f>
        <v>461.00000999250562</v>
      </c>
      <c r="D44" s="55"/>
      <c r="E44" s="105">
        <v>400.3</v>
      </c>
      <c r="F44" s="109">
        <v>153781.92000000001</v>
      </c>
      <c r="G44" s="41" t="s">
        <v>5</v>
      </c>
      <c r="H44" s="22">
        <f t="shared" si="31"/>
        <v>384.16667499375473</v>
      </c>
      <c r="I44" s="8"/>
      <c r="J44" s="7"/>
    </row>
    <row r="45" spans="1:10" ht="16.5" customHeight="1">
      <c r="A45" s="57" t="s">
        <v>140</v>
      </c>
      <c r="B45" s="115">
        <f t="shared" si="0"/>
        <v>416.66666666666669</v>
      </c>
      <c r="C45" s="56">
        <v>500</v>
      </c>
      <c r="D45" s="8"/>
      <c r="E45" s="105">
        <v>343.4</v>
      </c>
      <c r="F45" s="109">
        <f t="shared" si="13"/>
        <v>143083.33333333334</v>
      </c>
      <c r="G45" s="41" t="s">
        <v>5</v>
      </c>
      <c r="H45" s="22">
        <f t="shared" ref="H45" si="32">B45+I45</f>
        <v>416.66666666666669</v>
      </c>
      <c r="I45" s="8"/>
      <c r="J45" s="7"/>
    </row>
    <row r="46" spans="1:10" ht="16.5" customHeight="1">
      <c r="A46" s="57" t="s">
        <v>173</v>
      </c>
      <c r="B46" s="115">
        <f t="shared" ref="B46:B50" si="33">C46/1.2</f>
        <v>400</v>
      </c>
      <c r="C46" s="56">
        <v>480</v>
      </c>
      <c r="D46" s="8"/>
      <c r="E46" s="105">
        <v>205.8</v>
      </c>
      <c r="F46" s="109">
        <f t="shared" ref="F46:F50" si="34">E46*B46</f>
        <v>82320</v>
      </c>
      <c r="G46" s="41" t="s">
        <v>5</v>
      </c>
      <c r="H46" s="22">
        <f t="shared" si="14"/>
        <v>400</v>
      </c>
      <c r="I46" s="8"/>
      <c r="J46" s="7"/>
    </row>
    <row r="47" spans="1:10" ht="16.5" customHeight="1">
      <c r="A47" s="57" t="s">
        <v>35</v>
      </c>
      <c r="B47" s="115">
        <f t="shared" si="33"/>
        <v>425</v>
      </c>
      <c r="C47" s="56">
        <v>510</v>
      </c>
      <c r="D47" s="8"/>
      <c r="E47" s="105">
        <v>181.7</v>
      </c>
      <c r="F47" s="109">
        <f t="shared" si="34"/>
        <v>77222.5</v>
      </c>
      <c r="G47" s="41" t="s">
        <v>5</v>
      </c>
      <c r="H47" s="22">
        <f t="shared" si="14"/>
        <v>425</v>
      </c>
      <c r="I47" s="8"/>
      <c r="J47" s="7"/>
    </row>
    <row r="48" spans="1:10" ht="16.5" hidden="1" customHeight="1">
      <c r="A48" s="57" t="s">
        <v>150</v>
      </c>
      <c r="B48" s="115">
        <f t="shared" si="33"/>
        <v>433.33333333333337</v>
      </c>
      <c r="C48" s="56">
        <v>520</v>
      </c>
      <c r="D48" s="8"/>
      <c r="E48" s="105"/>
      <c r="F48" s="109">
        <f t="shared" si="34"/>
        <v>0</v>
      </c>
      <c r="G48" s="41" t="s">
        <v>5</v>
      </c>
      <c r="H48" s="22">
        <f t="shared" si="14"/>
        <v>433.33333333333337</v>
      </c>
      <c r="I48" s="8"/>
      <c r="J48" s="7"/>
    </row>
    <row r="49" spans="1:10" ht="16.5" hidden="1" customHeight="1">
      <c r="A49" s="57" t="s">
        <v>204</v>
      </c>
      <c r="B49" s="115">
        <f t="shared" si="33"/>
        <v>433.33333333333337</v>
      </c>
      <c r="C49" s="56">
        <v>520</v>
      </c>
      <c r="D49" s="8"/>
      <c r="E49" s="105"/>
      <c r="F49" s="109">
        <f t="shared" si="34"/>
        <v>0</v>
      </c>
      <c r="G49" s="41" t="s">
        <v>5</v>
      </c>
      <c r="H49" s="22">
        <f t="shared" si="14"/>
        <v>433.33333333333337</v>
      </c>
      <c r="I49" s="8"/>
      <c r="J49" s="7"/>
    </row>
    <row r="50" spans="1:10" ht="16.5" customHeight="1">
      <c r="A50" s="57" t="s">
        <v>190</v>
      </c>
      <c r="B50" s="115">
        <f t="shared" si="33"/>
        <v>433.33333333333337</v>
      </c>
      <c r="C50" s="56">
        <v>520</v>
      </c>
      <c r="D50" s="8"/>
      <c r="E50" s="105">
        <v>13.2</v>
      </c>
      <c r="F50" s="109">
        <f t="shared" si="34"/>
        <v>5720</v>
      </c>
      <c r="G50" s="41" t="s">
        <v>5</v>
      </c>
      <c r="H50" s="22">
        <f t="shared" si="14"/>
        <v>433.33333333333337</v>
      </c>
      <c r="I50" s="8"/>
      <c r="J50" s="7"/>
    </row>
    <row r="51" spans="1:10" ht="16.5" customHeight="1">
      <c r="A51" s="57" t="s">
        <v>219</v>
      </c>
      <c r="B51" s="115">
        <f t="shared" ref="B51:B52" si="35">C51/1.2</f>
        <v>433.33333333333337</v>
      </c>
      <c r="C51" s="56">
        <v>520</v>
      </c>
      <c r="D51" s="8"/>
      <c r="E51" s="105">
        <v>93.3</v>
      </c>
      <c r="F51" s="109">
        <f t="shared" si="13"/>
        <v>40430</v>
      </c>
      <c r="G51" s="41" t="s">
        <v>5</v>
      </c>
      <c r="H51" s="22">
        <f t="shared" ref="H51:H52" si="36">B51+I51</f>
        <v>433.33333333333337</v>
      </c>
      <c r="I51" s="8"/>
      <c r="J51" s="7"/>
    </row>
    <row r="52" spans="1:10" ht="16.5" customHeight="1">
      <c r="A52" s="57" t="s">
        <v>258</v>
      </c>
      <c r="B52" s="115">
        <f t="shared" si="35"/>
        <v>433.33333333333337</v>
      </c>
      <c r="C52" s="56">
        <v>520</v>
      </c>
      <c r="D52" s="8"/>
      <c r="E52" s="105">
        <v>150.5</v>
      </c>
      <c r="F52" s="109">
        <f t="shared" si="13"/>
        <v>65216.666666666672</v>
      </c>
      <c r="G52" s="41" t="s">
        <v>5</v>
      </c>
      <c r="H52" s="22">
        <f t="shared" si="36"/>
        <v>433.33333333333337</v>
      </c>
      <c r="I52" s="8"/>
      <c r="J52" s="7"/>
    </row>
    <row r="53" spans="1:10" ht="16.5" customHeight="1">
      <c r="A53" s="57" t="s">
        <v>90</v>
      </c>
      <c r="B53" s="115">
        <f t="shared" si="0"/>
        <v>433.33333333333337</v>
      </c>
      <c r="C53" s="56">
        <v>520</v>
      </c>
      <c r="D53" s="8"/>
      <c r="E53" s="105">
        <v>12.2</v>
      </c>
      <c r="F53" s="109">
        <f t="shared" si="13"/>
        <v>5286.666666666667</v>
      </c>
      <c r="G53" s="41" t="s">
        <v>5</v>
      </c>
      <c r="H53" s="22">
        <f t="shared" si="14"/>
        <v>433.33333333333337</v>
      </c>
      <c r="I53" s="8"/>
      <c r="J53" s="7"/>
    </row>
    <row r="54" spans="1:10" ht="16.5" customHeight="1">
      <c r="A54" s="57" t="s">
        <v>154</v>
      </c>
      <c r="B54" s="115">
        <f t="shared" si="0"/>
        <v>433.33333333333337</v>
      </c>
      <c r="C54" s="56">
        <v>520</v>
      </c>
      <c r="D54" s="8"/>
      <c r="E54" s="105">
        <v>130.1</v>
      </c>
      <c r="F54" s="109">
        <f t="shared" si="13"/>
        <v>56376.666666666672</v>
      </c>
      <c r="G54" s="41" t="s">
        <v>5</v>
      </c>
      <c r="H54" s="22">
        <f t="shared" si="14"/>
        <v>433.33333333333337</v>
      </c>
      <c r="I54" s="8"/>
      <c r="J54" s="7"/>
    </row>
    <row r="55" spans="1:10" ht="16.5" customHeight="1">
      <c r="A55" s="57" t="s">
        <v>259</v>
      </c>
      <c r="B55" s="115">
        <f t="shared" si="0"/>
        <v>375</v>
      </c>
      <c r="C55" s="56">
        <v>450</v>
      </c>
      <c r="D55" s="8"/>
      <c r="E55" s="105">
        <v>19</v>
      </c>
      <c r="F55" s="109">
        <f t="shared" si="13"/>
        <v>7125</v>
      </c>
      <c r="G55" s="41" t="s">
        <v>5</v>
      </c>
      <c r="H55" s="22">
        <f t="shared" si="14"/>
        <v>375</v>
      </c>
      <c r="I55" s="8"/>
      <c r="J55" s="7"/>
    </row>
    <row r="56" spans="1:10" ht="16.5" customHeight="1">
      <c r="A56" s="57" t="s">
        <v>176</v>
      </c>
      <c r="B56" s="115">
        <f t="shared" si="0"/>
        <v>433.33333333333337</v>
      </c>
      <c r="C56" s="56">
        <v>520</v>
      </c>
      <c r="D56" s="8"/>
      <c r="E56" s="105">
        <v>179.1</v>
      </c>
      <c r="F56" s="109">
        <f t="shared" si="13"/>
        <v>77610</v>
      </c>
      <c r="G56" s="41" t="s">
        <v>5</v>
      </c>
      <c r="H56" s="22">
        <f t="shared" si="14"/>
        <v>433.33333333333337</v>
      </c>
      <c r="I56" s="8"/>
      <c r="J56" s="7"/>
    </row>
    <row r="57" spans="1:10" ht="16.5" hidden="1" customHeight="1">
      <c r="A57" s="57" t="s">
        <v>129</v>
      </c>
      <c r="B57" s="115">
        <f t="shared" si="0"/>
        <v>433.33333333333337</v>
      </c>
      <c r="C57" s="56">
        <v>520</v>
      </c>
      <c r="D57" s="8"/>
      <c r="E57" s="105"/>
      <c r="F57" s="109">
        <f t="shared" si="13"/>
        <v>0</v>
      </c>
      <c r="G57" s="41" t="s">
        <v>5</v>
      </c>
      <c r="H57" s="22">
        <f t="shared" si="14"/>
        <v>433.33333333333337</v>
      </c>
      <c r="I57" s="8"/>
      <c r="J57" s="7"/>
    </row>
    <row r="58" spans="1:10" ht="16.5" customHeight="1">
      <c r="A58" s="57" t="s">
        <v>14</v>
      </c>
      <c r="B58" s="115">
        <f t="shared" si="0"/>
        <v>333.33333333333337</v>
      </c>
      <c r="C58" s="56">
        <v>400</v>
      </c>
      <c r="D58" s="8"/>
      <c r="E58" s="105">
        <v>14901.9</v>
      </c>
      <c r="F58" s="109">
        <f t="shared" si="13"/>
        <v>4967300</v>
      </c>
      <c r="G58" s="41" t="s">
        <v>5</v>
      </c>
      <c r="H58" s="22">
        <f t="shared" si="1"/>
        <v>333.33333333333337</v>
      </c>
      <c r="I58" s="2"/>
      <c r="J58" s="3"/>
    </row>
    <row r="59" spans="1:10" ht="16.5" customHeight="1">
      <c r="A59" s="57" t="s">
        <v>222</v>
      </c>
      <c r="B59" s="115">
        <f t="shared" si="0"/>
        <v>433.33333333333337</v>
      </c>
      <c r="C59" s="56">
        <v>520</v>
      </c>
      <c r="D59" s="8"/>
      <c r="E59" s="105">
        <v>189.2</v>
      </c>
      <c r="F59" s="109">
        <f t="shared" si="13"/>
        <v>81986.666666666672</v>
      </c>
      <c r="G59" s="41" t="s">
        <v>5</v>
      </c>
      <c r="H59" s="22">
        <f t="shared" si="1"/>
        <v>433.33333333333337</v>
      </c>
      <c r="I59" s="2"/>
      <c r="J59" s="3"/>
    </row>
    <row r="60" spans="1:10" ht="16.5" customHeight="1">
      <c r="A60" s="57" t="s">
        <v>200</v>
      </c>
      <c r="B60" s="115">
        <f t="shared" si="0"/>
        <v>425</v>
      </c>
      <c r="C60" s="56">
        <v>510</v>
      </c>
      <c r="D60" s="8"/>
      <c r="E60" s="105">
        <v>46.2</v>
      </c>
      <c r="F60" s="109">
        <f t="shared" si="13"/>
        <v>19635</v>
      </c>
      <c r="G60" s="41" t="s">
        <v>5</v>
      </c>
      <c r="H60" s="22">
        <f t="shared" si="1"/>
        <v>425</v>
      </c>
      <c r="I60" s="2"/>
      <c r="J60" s="3"/>
    </row>
    <row r="61" spans="1:10" ht="16.5" customHeight="1">
      <c r="A61" s="57" t="s">
        <v>169</v>
      </c>
      <c r="B61" s="115">
        <f t="shared" si="0"/>
        <v>433.33333333333337</v>
      </c>
      <c r="C61" s="56">
        <v>520</v>
      </c>
      <c r="D61" s="8"/>
      <c r="E61" s="105">
        <v>795</v>
      </c>
      <c r="F61" s="109">
        <f t="shared" ref="F61" si="37">E61*B61</f>
        <v>344500.00000000006</v>
      </c>
      <c r="G61" s="41" t="s">
        <v>5</v>
      </c>
      <c r="H61" s="22">
        <f t="shared" ref="H61" si="38">B61+I61</f>
        <v>433.33333333333337</v>
      </c>
      <c r="I61" s="2"/>
      <c r="J61" s="3"/>
    </row>
    <row r="62" spans="1:10" ht="16.5" customHeight="1">
      <c r="A62" s="57" t="s">
        <v>158</v>
      </c>
      <c r="B62" s="115">
        <f t="shared" si="0"/>
        <v>433.33333333333337</v>
      </c>
      <c r="C62" s="56">
        <v>520</v>
      </c>
      <c r="D62" s="8"/>
      <c r="E62" s="105">
        <v>17.2</v>
      </c>
      <c r="F62" s="109">
        <f t="shared" si="13"/>
        <v>7453.3333333333339</v>
      </c>
      <c r="G62" s="41" t="s">
        <v>5</v>
      </c>
      <c r="H62" s="22">
        <f t="shared" si="1"/>
        <v>433.33333333333337</v>
      </c>
      <c r="I62" s="2"/>
      <c r="J62" s="3"/>
    </row>
    <row r="63" spans="1:10" ht="16.5" hidden="1" customHeight="1">
      <c r="A63" s="57" t="s">
        <v>166</v>
      </c>
      <c r="B63" s="115">
        <f t="shared" si="0"/>
        <v>408.33333333333337</v>
      </c>
      <c r="C63" s="56">
        <v>490</v>
      </c>
      <c r="D63" s="8"/>
      <c r="E63" s="105"/>
      <c r="F63" s="109">
        <f t="shared" si="13"/>
        <v>0</v>
      </c>
      <c r="G63" s="41" t="s">
        <v>5</v>
      </c>
      <c r="H63" s="22">
        <f t="shared" si="1"/>
        <v>408.33333333333337</v>
      </c>
      <c r="I63" s="2"/>
      <c r="J63" s="3"/>
    </row>
    <row r="64" spans="1:10" ht="16.5" customHeight="1">
      <c r="A64" s="57" t="s">
        <v>119</v>
      </c>
      <c r="B64" s="115">
        <f>F64/E64</f>
        <v>341.6666789260758</v>
      </c>
      <c r="C64" s="56">
        <f>B64*1.2</f>
        <v>410.00001471129093</v>
      </c>
      <c r="D64" s="55"/>
      <c r="E64" s="105">
        <v>271.89999999999998</v>
      </c>
      <c r="F64" s="109">
        <v>92899.17</v>
      </c>
      <c r="G64" s="41" t="s">
        <v>5</v>
      </c>
      <c r="H64" s="22">
        <f t="shared" ref="H64:H65" si="39">B64+I64</f>
        <v>341.6666789260758</v>
      </c>
      <c r="I64" s="2"/>
      <c r="J64" s="3"/>
    </row>
    <row r="65" spans="1:10" ht="17.100000000000001" hidden="1" customHeight="1">
      <c r="A65" s="57" t="s">
        <v>71</v>
      </c>
      <c r="B65" s="115">
        <f t="shared" ref="B65" si="40">C65/1.2</f>
        <v>433.33333333333337</v>
      </c>
      <c r="C65" s="56">
        <v>520</v>
      </c>
      <c r="D65" s="8"/>
      <c r="E65" s="105"/>
      <c r="F65" s="109">
        <f t="shared" ref="F65" si="41">E65*B65</f>
        <v>0</v>
      </c>
      <c r="G65" s="41" t="s">
        <v>5</v>
      </c>
      <c r="H65" s="22">
        <f t="shared" si="39"/>
        <v>433.33333333333337</v>
      </c>
      <c r="I65" s="8"/>
      <c r="J65" s="7"/>
    </row>
    <row r="66" spans="1:10" ht="17.100000000000001" customHeight="1">
      <c r="A66" s="57" t="s">
        <v>213</v>
      </c>
      <c r="B66" s="115">
        <f t="shared" si="0"/>
        <v>433.33333333333337</v>
      </c>
      <c r="C66" s="56">
        <v>520</v>
      </c>
      <c r="D66" s="8"/>
      <c r="E66" s="105">
        <v>38.700000000000003</v>
      </c>
      <c r="F66" s="109">
        <f t="shared" si="13"/>
        <v>16770.000000000004</v>
      </c>
      <c r="G66" s="41" t="s">
        <v>5</v>
      </c>
      <c r="H66" s="22">
        <f t="shared" ref="H66:H84" si="42">B66+I66</f>
        <v>433.33333333333337</v>
      </c>
      <c r="I66" s="8"/>
      <c r="J66" s="7"/>
    </row>
    <row r="67" spans="1:10" ht="17.100000000000001" customHeight="1">
      <c r="A67" s="57" t="s">
        <v>260</v>
      </c>
      <c r="B67" s="115">
        <f t="shared" si="0"/>
        <v>433.33333333333337</v>
      </c>
      <c r="C67" s="56">
        <v>520</v>
      </c>
      <c r="D67" s="8"/>
      <c r="E67" s="105">
        <v>534.1</v>
      </c>
      <c r="F67" s="109">
        <f t="shared" si="13"/>
        <v>231443.33333333337</v>
      </c>
      <c r="G67" s="41" t="s">
        <v>5</v>
      </c>
      <c r="H67" s="22">
        <f t="shared" si="42"/>
        <v>433.33333333333337</v>
      </c>
      <c r="I67" s="8"/>
      <c r="J67" s="7"/>
    </row>
    <row r="68" spans="1:10" ht="17.100000000000001" customHeight="1">
      <c r="A68" s="57" t="s">
        <v>261</v>
      </c>
      <c r="B68" s="115">
        <f t="shared" si="0"/>
        <v>433.33333333333337</v>
      </c>
      <c r="C68" s="56">
        <v>520</v>
      </c>
      <c r="D68" s="8"/>
      <c r="E68" s="105">
        <v>168.9</v>
      </c>
      <c r="F68" s="109">
        <f t="shared" si="13"/>
        <v>73190.000000000015</v>
      </c>
      <c r="G68" s="41" t="s">
        <v>5</v>
      </c>
      <c r="H68" s="22">
        <f t="shared" si="42"/>
        <v>433.33333333333337</v>
      </c>
      <c r="I68" s="8"/>
      <c r="J68" s="7"/>
    </row>
    <row r="69" spans="1:10" ht="17.100000000000001" customHeight="1">
      <c r="A69" s="57" t="s">
        <v>22</v>
      </c>
      <c r="B69" s="115">
        <f t="shared" si="0"/>
        <v>375</v>
      </c>
      <c r="C69" s="56">
        <v>450</v>
      </c>
      <c r="D69" s="8"/>
      <c r="E69" s="105">
        <v>3584.4</v>
      </c>
      <c r="F69" s="109">
        <f t="shared" si="13"/>
        <v>1344150</v>
      </c>
      <c r="G69" s="41" t="s">
        <v>5</v>
      </c>
      <c r="H69" s="22">
        <f t="shared" ref="H69:H75" si="43">B69+I69</f>
        <v>375</v>
      </c>
      <c r="I69" s="8"/>
      <c r="J69" s="7"/>
    </row>
    <row r="70" spans="1:10" ht="17.100000000000001" customHeight="1">
      <c r="A70" s="57" t="s">
        <v>39</v>
      </c>
      <c r="B70" s="115">
        <f t="shared" si="0"/>
        <v>425</v>
      </c>
      <c r="C70" s="56">
        <v>510</v>
      </c>
      <c r="D70" s="8"/>
      <c r="E70" s="105">
        <v>172.1</v>
      </c>
      <c r="F70" s="109">
        <f t="shared" si="13"/>
        <v>73142.5</v>
      </c>
      <c r="G70" s="41" t="s">
        <v>5</v>
      </c>
      <c r="H70" s="22">
        <f t="shared" si="43"/>
        <v>425</v>
      </c>
      <c r="I70" s="8"/>
      <c r="J70" s="7"/>
    </row>
    <row r="71" spans="1:10" ht="17.100000000000001" hidden="1" customHeight="1">
      <c r="A71" s="57" t="s">
        <v>181</v>
      </c>
      <c r="B71" s="115">
        <f t="shared" si="0"/>
        <v>433.33333333333337</v>
      </c>
      <c r="C71" s="56">
        <v>520</v>
      </c>
      <c r="D71" s="8"/>
      <c r="E71" s="105"/>
      <c r="F71" s="109">
        <f t="shared" si="13"/>
        <v>0</v>
      </c>
      <c r="G71" s="41" t="s">
        <v>5</v>
      </c>
      <c r="H71" s="22">
        <f t="shared" si="43"/>
        <v>433.33333333333337</v>
      </c>
      <c r="I71" s="8"/>
      <c r="J71" s="7"/>
    </row>
    <row r="72" spans="1:10" ht="17.100000000000001" hidden="1" customHeight="1">
      <c r="A72" s="57" t="s">
        <v>195</v>
      </c>
      <c r="B72" s="115">
        <f t="shared" si="0"/>
        <v>425</v>
      </c>
      <c r="C72" s="56">
        <v>510</v>
      </c>
      <c r="D72" s="8"/>
      <c r="E72" s="105"/>
      <c r="F72" s="109">
        <f t="shared" si="13"/>
        <v>0</v>
      </c>
      <c r="G72" s="41" t="s">
        <v>5</v>
      </c>
      <c r="H72" s="22">
        <f t="shared" si="43"/>
        <v>425</v>
      </c>
      <c r="I72" s="8"/>
      <c r="J72" s="7"/>
    </row>
    <row r="73" spans="1:10" ht="17.100000000000001" hidden="1" customHeight="1">
      <c r="A73" s="57" t="s">
        <v>91</v>
      </c>
      <c r="B73" s="115">
        <f t="shared" si="0"/>
        <v>391.66666666666669</v>
      </c>
      <c r="C73" s="56">
        <v>470</v>
      </c>
      <c r="D73" s="8"/>
      <c r="E73" s="105"/>
      <c r="F73" s="109">
        <f t="shared" si="13"/>
        <v>0</v>
      </c>
      <c r="G73" s="41" t="s">
        <v>5</v>
      </c>
      <c r="H73" s="22">
        <f t="shared" ref="H73:H74" si="44">B73+I73</f>
        <v>391.66666666666669</v>
      </c>
      <c r="I73" s="8"/>
      <c r="J73" s="7"/>
    </row>
    <row r="74" spans="1:10" ht="17.100000000000001" hidden="1" customHeight="1">
      <c r="A74" s="57" t="s">
        <v>196</v>
      </c>
      <c r="B74" s="115">
        <f t="shared" si="0"/>
        <v>433.33333333333337</v>
      </c>
      <c r="C74" s="56">
        <v>520</v>
      </c>
      <c r="D74" s="8"/>
      <c r="E74" s="105"/>
      <c r="F74" s="109">
        <f t="shared" si="13"/>
        <v>0</v>
      </c>
      <c r="G74" s="41" t="s">
        <v>5</v>
      </c>
      <c r="H74" s="22">
        <f t="shared" si="44"/>
        <v>433.33333333333337</v>
      </c>
      <c r="I74" s="8"/>
      <c r="J74" s="7"/>
    </row>
    <row r="75" spans="1:10" ht="17.100000000000001" customHeight="1">
      <c r="A75" s="57" t="s">
        <v>23</v>
      </c>
      <c r="B75" s="115">
        <f>F75/E75</f>
        <v>402.14443192396254</v>
      </c>
      <c r="C75" s="56">
        <f>B75*1.2</f>
        <v>482.57331830875501</v>
      </c>
      <c r="D75" s="55"/>
      <c r="E75" s="105">
        <v>10205.5</v>
      </c>
      <c r="F75" s="109">
        <v>4104085</v>
      </c>
      <c r="G75" s="41" t="s">
        <v>5</v>
      </c>
      <c r="H75" s="22">
        <f t="shared" si="43"/>
        <v>402.14443192396254</v>
      </c>
      <c r="I75" s="2"/>
      <c r="J75" s="3"/>
    </row>
    <row r="76" spans="1:10" ht="17.100000000000001" customHeight="1">
      <c r="A76" s="57" t="s">
        <v>215</v>
      </c>
      <c r="B76" s="115">
        <f t="shared" ref="B76" si="45">C76/1.2</f>
        <v>416.66666666666669</v>
      </c>
      <c r="C76" s="56">
        <v>500</v>
      </c>
      <c r="D76" s="8"/>
      <c r="E76" s="105">
        <v>363.53</v>
      </c>
      <c r="F76" s="109">
        <f t="shared" si="13"/>
        <v>151470.83333333334</v>
      </c>
      <c r="G76" s="41" t="s">
        <v>5</v>
      </c>
      <c r="H76" s="22">
        <f t="shared" ref="H76:H77" si="46">B76+I76</f>
        <v>416.66666666666669</v>
      </c>
      <c r="I76" s="2"/>
      <c r="J76" s="3"/>
    </row>
    <row r="77" spans="1:10" ht="17.100000000000001" customHeight="1">
      <c r="A77" s="57" t="s">
        <v>262</v>
      </c>
      <c r="B77" s="115">
        <f t="shared" si="0"/>
        <v>433.33333333333337</v>
      </c>
      <c r="C77" s="56">
        <v>520</v>
      </c>
      <c r="D77" s="8"/>
      <c r="E77" s="105">
        <v>21.9</v>
      </c>
      <c r="F77" s="109">
        <f t="shared" si="13"/>
        <v>9490</v>
      </c>
      <c r="G77" s="41" t="s">
        <v>5</v>
      </c>
      <c r="H77" s="22">
        <f t="shared" si="46"/>
        <v>433.33333333333337</v>
      </c>
      <c r="I77" s="2"/>
      <c r="J77" s="3"/>
    </row>
    <row r="78" spans="1:10" ht="17.100000000000001" customHeight="1">
      <c r="A78" s="57" t="s">
        <v>226</v>
      </c>
      <c r="B78" s="115">
        <f t="shared" si="0"/>
        <v>433.33333333333337</v>
      </c>
      <c r="C78" s="56">
        <v>520</v>
      </c>
      <c r="D78" s="8"/>
      <c r="E78" s="105">
        <v>26</v>
      </c>
      <c r="F78" s="109">
        <f t="shared" si="13"/>
        <v>11266.666666666668</v>
      </c>
      <c r="G78" s="41" t="s">
        <v>5</v>
      </c>
      <c r="H78" s="22">
        <f t="shared" ref="H78:H80" si="47">B78+I78</f>
        <v>433.33333333333337</v>
      </c>
      <c r="I78" s="2"/>
      <c r="J78" s="3"/>
    </row>
    <row r="79" spans="1:10" ht="17.100000000000001" customHeight="1">
      <c r="A79" s="57" t="s">
        <v>42</v>
      </c>
      <c r="B79" s="115">
        <f t="shared" si="0"/>
        <v>433.33333333333337</v>
      </c>
      <c r="C79" s="56">
        <v>520</v>
      </c>
      <c r="D79" s="8"/>
      <c r="E79" s="105">
        <v>50.9</v>
      </c>
      <c r="F79" s="109">
        <f t="shared" si="13"/>
        <v>22056.666666666668</v>
      </c>
      <c r="G79" s="41" t="s">
        <v>5</v>
      </c>
      <c r="H79" s="22">
        <f t="shared" ref="H79" si="48">B79+I79</f>
        <v>433.33333333333337</v>
      </c>
      <c r="I79" s="2"/>
      <c r="J79" s="3"/>
    </row>
    <row r="80" spans="1:10" ht="17.100000000000001" customHeight="1">
      <c r="A80" s="57" t="s">
        <v>203</v>
      </c>
      <c r="B80" s="115">
        <f t="shared" si="0"/>
        <v>433.33333333333337</v>
      </c>
      <c r="C80" s="56">
        <v>520</v>
      </c>
      <c r="D80" s="8"/>
      <c r="E80" s="105">
        <v>516.29999999999995</v>
      </c>
      <c r="F80" s="109">
        <f t="shared" si="13"/>
        <v>223730</v>
      </c>
      <c r="G80" s="41" t="s">
        <v>5</v>
      </c>
      <c r="H80" s="22">
        <f t="shared" si="47"/>
        <v>433.33333333333337</v>
      </c>
      <c r="I80" s="2"/>
      <c r="J80" s="3"/>
    </row>
    <row r="81" spans="1:10" ht="17.100000000000001" customHeight="1">
      <c r="A81" s="57" t="s">
        <v>110</v>
      </c>
      <c r="B81" s="115">
        <f t="shared" si="0"/>
        <v>400</v>
      </c>
      <c r="C81" s="56">
        <v>480</v>
      </c>
      <c r="D81" s="8"/>
      <c r="E81" s="105">
        <v>1107.0999999999999</v>
      </c>
      <c r="F81" s="109">
        <f t="shared" si="13"/>
        <v>442839.99999999994</v>
      </c>
      <c r="G81" s="41" t="s">
        <v>5</v>
      </c>
      <c r="H81" s="22">
        <f t="shared" si="42"/>
        <v>400</v>
      </c>
      <c r="I81" s="2"/>
      <c r="J81" s="3"/>
    </row>
    <row r="82" spans="1:10" ht="17.100000000000001" customHeight="1">
      <c r="A82" s="57" t="s">
        <v>249</v>
      </c>
      <c r="B82" s="115">
        <f t="shared" si="0"/>
        <v>433.33333333333337</v>
      </c>
      <c r="C82" s="56">
        <v>520</v>
      </c>
      <c r="D82" s="8"/>
      <c r="E82" s="105">
        <v>14</v>
      </c>
      <c r="F82" s="109">
        <f t="shared" si="13"/>
        <v>6066.666666666667</v>
      </c>
      <c r="G82" s="41" t="s">
        <v>5</v>
      </c>
      <c r="H82" s="22">
        <f t="shared" si="42"/>
        <v>433.33333333333337</v>
      </c>
      <c r="I82" s="2"/>
      <c r="J82" s="3"/>
    </row>
    <row r="83" spans="1:10" ht="17.100000000000001" customHeight="1">
      <c r="A83" s="57" t="s">
        <v>239</v>
      </c>
      <c r="B83" s="115">
        <f t="shared" si="0"/>
        <v>433.33333333333337</v>
      </c>
      <c r="C83" s="56">
        <v>520</v>
      </c>
      <c r="D83" s="55"/>
      <c r="E83" s="105">
        <v>58</v>
      </c>
      <c r="F83" s="109">
        <f t="shared" si="13"/>
        <v>25133.333333333336</v>
      </c>
      <c r="G83" s="41" t="s">
        <v>5</v>
      </c>
      <c r="H83" s="22">
        <f t="shared" si="42"/>
        <v>433.33333333333337</v>
      </c>
      <c r="I83" s="2"/>
      <c r="J83" s="3"/>
    </row>
    <row r="84" spans="1:10" ht="17.100000000000001" customHeight="1">
      <c r="A84" s="57" t="s">
        <v>217</v>
      </c>
      <c r="B84" s="115">
        <f t="shared" si="0"/>
        <v>425</v>
      </c>
      <c r="C84" s="56">
        <v>510</v>
      </c>
      <c r="D84" s="55"/>
      <c r="E84" s="105">
        <v>459.2</v>
      </c>
      <c r="F84" s="109">
        <f t="shared" si="13"/>
        <v>195160</v>
      </c>
      <c r="G84" s="41" t="s">
        <v>5</v>
      </c>
      <c r="H84" s="22">
        <f t="shared" si="42"/>
        <v>425</v>
      </c>
      <c r="I84" s="2"/>
      <c r="J84" s="3"/>
    </row>
    <row r="85" spans="1:10" ht="17.100000000000001" customHeight="1">
      <c r="A85" s="57" t="s">
        <v>15</v>
      </c>
      <c r="B85" s="115">
        <f t="shared" si="0"/>
        <v>425</v>
      </c>
      <c r="C85" s="56">
        <v>510</v>
      </c>
      <c r="D85" s="8"/>
      <c r="E85" s="105">
        <v>486.7</v>
      </c>
      <c r="F85" s="109">
        <f t="shared" si="13"/>
        <v>206847.5</v>
      </c>
      <c r="G85" s="41" t="s">
        <v>5</v>
      </c>
      <c r="H85" s="22">
        <f t="shared" ref="H85:H92" si="49">B85+I85</f>
        <v>425</v>
      </c>
      <c r="I85" s="8"/>
      <c r="J85" s="7"/>
    </row>
    <row r="86" spans="1:10" ht="17.100000000000001" hidden="1" customHeight="1">
      <c r="A86" s="57" t="s">
        <v>132</v>
      </c>
      <c r="B86" s="115">
        <f t="shared" si="0"/>
        <v>416.66666666666669</v>
      </c>
      <c r="C86" s="56">
        <v>500</v>
      </c>
      <c r="D86" s="8"/>
      <c r="E86" s="105"/>
      <c r="F86" s="109">
        <f t="shared" si="13"/>
        <v>0</v>
      </c>
      <c r="G86" s="41" t="s">
        <v>5</v>
      </c>
      <c r="H86" s="22">
        <f t="shared" si="49"/>
        <v>416.66666666666669</v>
      </c>
      <c r="I86" s="8"/>
      <c r="J86" s="7"/>
    </row>
    <row r="87" spans="1:10" ht="17.100000000000001" hidden="1" customHeight="1">
      <c r="A87" s="57" t="s">
        <v>151</v>
      </c>
      <c r="B87" s="115">
        <f t="shared" ref="B87" si="50">C87/1.2</f>
        <v>433.33333333333337</v>
      </c>
      <c r="C87" s="56">
        <v>520</v>
      </c>
      <c r="D87" s="8"/>
      <c r="E87" s="105"/>
      <c r="F87" s="109">
        <f t="shared" si="13"/>
        <v>0</v>
      </c>
      <c r="G87" s="41" t="s">
        <v>5</v>
      </c>
      <c r="H87" s="22">
        <f t="shared" ref="H87" si="51">B87+I87</f>
        <v>433.33333333333337</v>
      </c>
      <c r="I87" s="8"/>
      <c r="J87" s="7"/>
    </row>
    <row r="88" spans="1:10" ht="17.100000000000001" hidden="1" customHeight="1">
      <c r="A88" s="57" t="s">
        <v>120</v>
      </c>
      <c r="B88" s="115">
        <f t="shared" ref="B88:B92" si="52">C88/1.2</f>
        <v>400</v>
      </c>
      <c r="C88" s="56">
        <v>480</v>
      </c>
      <c r="D88" s="8"/>
      <c r="E88" s="105"/>
      <c r="F88" s="109">
        <f t="shared" si="13"/>
        <v>0</v>
      </c>
      <c r="G88" s="41" t="s">
        <v>5</v>
      </c>
      <c r="H88" s="22">
        <f t="shared" si="49"/>
        <v>400</v>
      </c>
      <c r="I88" s="8"/>
      <c r="J88" s="7"/>
    </row>
    <row r="89" spans="1:10" ht="17.100000000000001" customHeight="1">
      <c r="A89" s="57" t="s">
        <v>230</v>
      </c>
      <c r="B89" s="115">
        <f t="shared" si="52"/>
        <v>425</v>
      </c>
      <c r="C89" s="56">
        <v>510</v>
      </c>
      <c r="D89" s="8"/>
      <c r="E89" s="105">
        <v>34.200000000000003</v>
      </c>
      <c r="F89" s="109">
        <f t="shared" si="13"/>
        <v>14535.000000000002</v>
      </c>
      <c r="G89" s="41" t="s">
        <v>5</v>
      </c>
      <c r="H89" s="22">
        <f t="shared" si="49"/>
        <v>425</v>
      </c>
      <c r="I89" s="8"/>
      <c r="J89" s="7"/>
    </row>
    <row r="90" spans="1:10" ht="17.100000000000001" customHeight="1">
      <c r="A90" s="57" t="s">
        <v>212</v>
      </c>
      <c r="B90" s="115">
        <f t="shared" si="52"/>
        <v>433.33333333333337</v>
      </c>
      <c r="C90" s="56">
        <v>520</v>
      </c>
      <c r="D90" s="8"/>
      <c r="E90" s="105">
        <v>7.7</v>
      </c>
      <c r="F90" s="109">
        <f t="shared" si="13"/>
        <v>3336.666666666667</v>
      </c>
      <c r="G90" s="41" t="s">
        <v>5</v>
      </c>
      <c r="H90" s="22">
        <f t="shared" si="49"/>
        <v>433.33333333333337</v>
      </c>
      <c r="I90" s="8"/>
      <c r="J90" s="7"/>
    </row>
    <row r="91" spans="1:10" ht="17.100000000000001" customHeight="1">
      <c r="A91" s="57" t="s">
        <v>117</v>
      </c>
      <c r="B91" s="115">
        <f t="shared" si="52"/>
        <v>416.66666666666669</v>
      </c>
      <c r="C91" s="56">
        <v>500</v>
      </c>
      <c r="D91" s="55"/>
      <c r="E91" s="105">
        <v>1005.1</v>
      </c>
      <c r="F91" s="109">
        <f t="shared" si="13"/>
        <v>418791.66666666669</v>
      </c>
      <c r="G91" s="41" t="s">
        <v>5</v>
      </c>
      <c r="H91" s="22">
        <f t="shared" si="49"/>
        <v>416.66666666666669</v>
      </c>
      <c r="I91" s="8"/>
      <c r="J91" s="7"/>
    </row>
    <row r="92" spans="1:10" ht="17.100000000000001" hidden="1" customHeight="1">
      <c r="A92" s="57" t="s">
        <v>174</v>
      </c>
      <c r="B92" s="115">
        <f t="shared" si="52"/>
        <v>433.33333333333337</v>
      </c>
      <c r="C92" s="56">
        <v>520</v>
      </c>
      <c r="D92" s="55"/>
      <c r="E92" s="105"/>
      <c r="F92" s="109">
        <f t="shared" si="13"/>
        <v>0</v>
      </c>
      <c r="G92" s="41" t="s">
        <v>5</v>
      </c>
      <c r="H92" s="22">
        <f t="shared" si="49"/>
        <v>433.33333333333337</v>
      </c>
      <c r="I92" s="8"/>
      <c r="J92" s="7"/>
    </row>
    <row r="93" spans="1:10" ht="17.100000000000001" customHeight="1">
      <c r="A93" s="57" t="s">
        <v>263</v>
      </c>
      <c r="B93" s="115">
        <f>C93/1.2</f>
        <v>400</v>
      </c>
      <c r="C93" s="56">
        <v>480</v>
      </c>
      <c r="D93" s="55"/>
      <c r="E93" s="105">
        <v>35.6</v>
      </c>
      <c r="F93" s="109">
        <f t="shared" si="13"/>
        <v>14240</v>
      </c>
      <c r="G93" s="41" t="s">
        <v>5</v>
      </c>
      <c r="H93" s="22">
        <f t="shared" ref="H93:H98" si="53">B93+I93</f>
        <v>400</v>
      </c>
      <c r="I93" s="8"/>
      <c r="J93" s="7"/>
    </row>
    <row r="94" spans="1:10" ht="17.100000000000001" customHeight="1">
      <c r="A94" s="57" t="s">
        <v>133</v>
      </c>
      <c r="B94" s="115">
        <f>C94/1.2</f>
        <v>425</v>
      </c>
      <c r="C94" s="56">
        <v>510</v>
      </c>
      <c r="D94" s="55"/>
      <c r="E94" s="105">
        <v>362.1</v>
      </c>
      <c r="F94" s="109">
        <f t="shared" si="13"/>
        <v>153892.5</v>
      </c>
      <c r="G94" s="41" t="s">
        <v>5</v>
      </c>
      <c r="H94" s="22">
        <f t="shared" si="53"/>
        <v>425</v>
      </c>
      <c r="I94" s="8"/>
      <c r="J94" s="7"/>
    </row>
    <row r="95" spans="1:10" ht="16.5" hidden="1" customHeight="1">
      <c r="A95" s="57" t="s">
        <v>44</v>
      </c>
      <c r="B95" s="115">
        <f>C95/1.2</f>
        <v>425</v>
      </c>
      <c r="C95" s="56">
        <v>510</v>
      </c>
      <c r="D95" s="55"/>
      <c r="E95" s="105"/>
      <c r="F95" s="109">
        <f t="shared" si="13"/>
        <v>0</v>
      </c>
      <c r="G95" s="41" t="s">
        <v>5</v>
      </c>
      <c r="H95" s="22">
        <f t="shared" si="53"/>
        <v>425</v>
      </c>
      <c r="I95" s="8"/>
      <c r="J95" s="7"/>
    </row>
    <row r="96" spans="1:10" ht="16.5" customHeight="1">
      <c r="A96" s="57" t="s">
        <v>165</v>
      </c>
      <c r="B96" s="115">
        <f>C96/1.2</f>
        <v>433.33333333333337</v>
      </c>
      <c r="C96" s="56">
        <v>520</v>
      </c>
      <c r="D96" s="55"/>
      <c r="E96" s="105">
        <v>438.2</v>
      </c>
      <c r="F96" s="109">
        <f t="shared" si="13"/>
        <v>189886.66666666669</v>
      </c>
      <c r="G96" s="41" t="s">
        <v>5</v>
      </c>
      <c r="H96" s="22">
        <f t="shared" si="53"/>
        <v>433.33333333333337</v>
      </c>
      <c r="I96" s="8"/>
      <c r="J96" s="7"/>
    </row>
    <row r="97" spans="1:10" ht="17.100000000000001" customHeight="1">
      <c r="A97" s="57" t="s">
        <v>18</v>
      </c>
      <c r="B97" s="115">
        <f t="shared" si="0"/>
        <v>433.33333333333337</v>
      </c>
      <c r="C97" s="56">
        <v>520</v>
      </c>
      <c r="D97" s="55"/>
      <c r="E97" s="105">
        <v>382.4</v>
      </c>
      <c r="F97" s="109">
        <f t="shared" si="13"/>
        <v>165706.66666666666</v>
      </c>
      <c r="G97" s="41" t="s">
        <v>5</v>
      </c>
      <c r="H97" s="22">
        <f t="shared" si="53"/>
        <v>433.33333333333337</v>
      </c>
      <c r="I97" s="8"/>
      <c r="J97" s="7"/>
    </row>
    <row r="98" spans="1:10" ht="17.100000000000001" customHeight="1">
      <c r="A98" s="57" t="s">
        <v>207</v>
      </c>
      <c r="B98" s="115">
        <f t="shared" si="0"/>
        <v>433.33333333333337</v>
      </c>
      <c r="C98" s="56">
        <v>520</v>
      </c>
      <c r="D98" s="55"/>
      <c r="E98" s="105">
        <v>55.5</v>
      </c>
      <c r="F98" s="109">
        <f t="shared" si="13"/>
        <v>24050.000000000004</v>
      </c>
      <c r="G98" s="41" t="s">
        <v>5</v>
      </c>
      <c r="H98" s="22">
        <f t="shared" si="53"/>
        <v>433.33333333333337</v>
      </c>
      <c r="I98" s="8"/>
      <c r="J98" s="7"/>
    </row>
    <row r="99" spans="1:10" ht="17.100000000000001" customHeight="1">
      <c r="A99" s="57" t="s">
        <v>45</v>
      </c>
      <c r="B99" s="115">
        <f t="shared" si="0"/>
        <v>416.66666666666669</v>
      </c>
      <c r="C99" s="56">
        <v>500</v>
      </c>
      <c r="D99" s="11"/>
      <c r="E99" s="105">
        <v>1411.2</v>
      </c>
      <c r="F99" s="109">
        <f t="shared" ref="F99:F124" si="54">E99*B99</f>
        <v>588000</v>
      </c>
      <c r="G99" s="41" t="s">
        <v>5</v>
      </c>
      <c r="H99" s="22">
        <f t="shared" ref="H99:H135" si="55">B99+I99</f>
        <v>416.66666666666669</v>
      </c>
      <c r="I99" s="8"/>
      <c r="J99" s="7"/>
    </row>
    <row r="100" spans="1:10" ht="17.100000000000001" hidden="1" customHeight="1">
      <c r="A100" s="57" t="s">
        <v>143</v>
      </c>
      <c r="B100" s="115">
        <f t="shared" si="0"/>
        <v>416.66666666666669</v>
      </c>
      <c r="C100" s="56">
        <v>500</v>
      </c>
      <c r="D100" s="11"/>
      <c r="E100" s="105"/>
      <c r="F100" s="109">
        <f t="shared" si="54"/>
        <v>0</v>
      </c>
      <c r="G100" s="41" t="s">
        <v>5</v>
      </c>
      <c r="H100" s="22">
        <f t="shared" si="55"/>
        <v>416.66666666666669</v>
      </c>
      <c r="I100" s="8"/>
      <c r="J100" s="7"/>
    </row>
    <row r="101" spans="1:10" ht="17.100000000000001" hidden="1" customHeight="1">
      <c r="A101" s="57" t="s">
        <v>218</v>
      </c>
      <c r="B101" s="115" t="e">
        <f>F101/E101</f>
        <v>#DIV/0!</v>
      </c>
      <c r="C101" s="56" t="e">
        <f>B101*1.2</f>
        <v>#DIV/0!</v>
      </c>
      <c r="D101" s="55"/>
      <c r="E101" s="105"/>
      <c r="F101" s="109"/>
      <c r="G101" s="41" t="s">
        <v>5</v>
      </c>
      <c r="H101" s="22" t="e">
        <f t="shared" si="55"/>
        <v>#DIV/0!</v>
      </c>
      <c r="I101" s="8"/>
      <c r="J101" s="7"/>
    </row>
    <row r="102" spans="1:10" ht="17.100000000000001" hidden="1" customHeight="1">
      <c r="A102" s="57" t="s">
        <v>131</v>
      </c>
      <c r="B102" s="115">
        <f t="shared" si="0"/>
        <v>433.33333333333337</v>
      </c>
      <c r="C102" s="56">
        <v>520</v>
      </c>
      <c r="D102" s="11"/>
      <c r="E102" s="105"/>
      <c r="F102" s="109">
        <f t="shared" si="54"/>
        <v>0</v>
      </c>
      <c r="G102" s="41" t="s">
        <v>5</v>
      </c>
      <c r="H102" s="22">
        <f t="shared" si="55"/>
        <v>433.33333333333337</v>
      </c>
      <c r="I102" s="8"/>
      <c r="J102" s="7"/>
    </row>
    <row r="103" spans="1:10" ht="17.100000000000001" customHeight="1">
      <c r="A103" s="57" t="s">
        <v>160</v>
      </c>
      <c r="B103" s="115">
        <f t="shared" si="0"/>
        <v>433.33333333333337</v>
      </c>
      <c r="C103" s="56">
        <v>520</v>
      </c>
      <c r="D103" s="11"/>
      <c r="E103" s="105">
        <v>138.30000000000001</v>
      </c>
      <c r="F103" s="109">
        <f t="shared" si="54"/>
        <v>59930.000000000007</v>
      </c>
      <c r="G103" s="41" t="s">
        <v>5</v>
      </c>
      <c r="H103" s="22">
        <f t="shared" si="55"/>
        <v>433.33333333333337</v>
      </c>
      <c r="I103" s="8"/>
      <c r="J103" s="7"/>
    </row>
    <row r="104" spans="1:10" ht="17.100000000000001" customHeight="1">
      <c r="A104" s="57" t="s">
        <v>53</v>
      </c>
      <c r="B104" s="115">
        <f>F104/E104</f>
        <v>432.59985997199442</v>
      </c>
      <c r="C104" s="56">
        <f>B104*1.2</f>
        <v>519.11983196639324</v>
      </c>
      <c r="D104" s="55"/>
      <c r="E104" s="105">
        <v>499.9</v>
      </c>
      <c r="F104" s="109">
        <v>216256.67</v>
      </c>
      <c r="G104" s="41" t="s">
        <v>5</v>
      </c>
      <c r="H104" s="22">
        <f t="shared" si="55"/>
        <v>432.59985997199442</v>
      </c>
      <c r="I104" s="8"/>
      <c r="J104" s="7"/>
    </row>
    <row r="105" spans="1:10" ht="17.100000000000001" customHeight="1">
      <c r="A105" s="57" t="s">
        <v>65</v>
      </c>
      <c r="B105" s="115">
        <f>F105/E105</f>
        <v>433.33333333333337</v>
      </c>
      <c r="C105" s="56">
        <f>B105*1.2</f>
        <v>520</v>
      </c>
      <c r="D105" s="55"/>
      <c r="E105" s="105">
        <v>363.9</v>
      </c>
      <c r="F105" s="109">
        <v>157690</v>
      </c>
      <c r="G105" s="41" t="s">
        <v>5</v>
      </c>
      <c r="H105" s="22">
        <f t="shared" si="55"/>
        <v>433.33333333333337</v>
      </c>
      <c r="I105" s="8"/>
      <c r="J105" s="7"/>
    </row>
    <row r="106" spans="1:10" ht="17.100000000000001" customHeight="1">
      <c r="A106" s="57" t="s">
        <v>264</v>
      </c>
      <c r="B106" s="115">
        <f t="shared" si="0"/>
        <v>433.33333333333337</v>
      </c>
      <c r="C106" s="56">
        <v>520</v>
      </c>
      <c r="D106" s="55"/>
      <c r="E106" s="105">
        <v>26</v>
      </c>
      <c r="F106" s="109">
        <f t="shared" si="54"/>
        <v>11266.666666666668</v>
      </c>
      <c r="G106" s="41" t="s">
        <v>5</v>
      </c>
      <c r="H106" s="22">
        <f t="shared" si="55"/>
        <v>433.33333333333337</v>
      </c>
      <c r="I106" s="8"/>
      <c r="J106" s="7"/>
    </row>
    <row r="107" spans="1:10" ht="17.100000000000001" customHeight="1">
      <c r="A107" s="57" t="s">
        <v>108</v>
      </c>
      <c r="B107" s="115">
        <f>F107/E107</f>
        <v>417.07905853952923</v>
      </c>
      <c r="C107" s="56">
        <f>B107*1.2</f>
        <v>500.49487024743507</v>
      </c>
      <c r="D107" s="55"/>
      <c r="E107" s="105">
        <v>994.2</v>
      </c>
      <c r="F107" s="109">
        <v>414660</v>
      </c>
      <c r="G107" s="41" t="s">
        <v>5</v>
      </c>
      <c r="H107" s="22">
        <f t="shared" ref="H107:H108" si="56">B107+I107</f>
        <v>417.07905853952923</v>
      </c>
      <c r="I107" s="8"/>
      <c r="J107" s="7"/>
    </row>
    <row r="108" spans="1:10" ht="17.100000000000001" customHeight="1">
      <c r="A108" s="57" t="s">
        <v>80</v>
      </c>
      <c r="B108" s="115">
        <f>F108/E108</f>
        <v>375</v>
      </c>
      <c r="C108" s="56">
        <f>B108*1.2</f>
        <v>450</v>
      </c>
      <c r="D108" s="55"/>
      <c r="E108" s="105">
        <v>4797.8999999999996</v>
      </c>
      <c r="F108" s="109">
        <v>1799212.5</v>
      </c>
      <c r="G108" s="41" t="s">
        <v>5</v>
      </c>
      <c r="H108" s="22">
        <f t="shared" si="56"/>
        <v>375</v>
      </c>
      <c r="I108" s="8"/>
      <c r="J108" s="7"/>
    </row>
    <row r="109" spans="1:10" ht="17.100000000000001" customHeight="1">
      <c r="A109" s="57" t="s">
        <v>100</v>
      </c>
      <c r="B109" s="115">
        <f>F109/E109</f>
        <v>420.06477588258628</v>
      </c>
      <c r="C109" s="56">
        <f>B109*1.2</f>
        <v>504.07773105910348</v>
      </c>
      <c r="D109" s="55"/>
      <c r="E109" s="105">
        <v>252.1</v>
      </c>
      <c r="F109" s="109">
        <v>105898.33</v>
      </c>
      <c r="G109" s="41" t="s">
        <v>5</v>
      </c>
      <c r="H109" s="22">
        <f t="shared" ref="H109:H110" si="57">B109+I109</f>
        <v>420.06477588258628</v>
      </c>
      <c r="I109" s="8"/>
      <c r="J109" s="7"/>
    </row>
    <row r="110" spans="1:10" ht="17.100000000000001" hidden="1" customHeight="1">
      <c r="A110" s="57" t="s">
        <v>33</v>
      </c>
      <c r="B110" s="115">
        <f t="shared" ref="B110" si="58">C110/1.2</f>
        <v>425</v>
      </c>
      <c r="C110" s="56">
        <v>510</v>
      </c>
      <c r="D110" s="55"/>
      <c r="E110" s="105"/>
      <c r="F110" s="109">
        <f t="shared" ref="F110:F120" si="59">E110*B110</f>
        <v>0</v>
      </c>
      <c r="G110" s="41" t="s">
        <v>5</v>
      </c>
      <c r="H110" s="22">
        <f t="shared" si="57"/>
        <v>425</v>
      </c>
      <c r="I110" s="2"/>
      <c r="J110" s="3"/>
    </row>
    <row r="111" spans="1:10" ht="17.100000000000001" customHeight="1">
      <c r="A111" s="57" t="s">
        <v>21</v>
      </c>
      <c r="B111" s="115">
        <f t="shared" si="0"/>
        <v>383.33333333333337</v>
      </c>
      <c r="C111" s="56">
        <v>460</v>
      </c>
      <c r="D111" s="8"/>
      <c r="E111" s="105">
        <v>798.1</v>
      </c>
      <c r="F111" s="109">
        <f t="shared" si="59"/>
        <v>305938.33333333337</v>
      </c>
      <c r="G111" s="41" t="s">
        <v>5</v>
      </c>
      <c r="H111" s="22">
        <f t="shared" si="55"/>
        <v>383.33333333333337</v>
      </c>
      <c r="I111" s="2"/>
      <c r="J111" s="3"/>
    </row>
    <row r="112" spans="1:10" ht="17.100000000000001" hidden="1" customHeight="1">
      <c r="A112" s="57" t="s">
        <v>183</v>
      </c>
      <c r="B112" s="115">
        <f t="shared" si="0"/>
        <v>433.33333333333337</v>
      </c>
      <c r="C112" s="56">
        <v>520</v>
      </c>
      <c r="D112" s="8"/>
      <c r="E112" s="105"/>
      <c r="F112" s="109">
        <f t="shared" si="59"/>
        <v>0</v>
      </c>
      <c r="G112" s="41" t="s">
        <v>5</v>
      </c>
      <c r="H112" s="22">
        <f t="shared" si="55"/>
        <v>433.33333333333337</v>
      </c>
      <c r="I112" s="2"/>
      <c r="J112" s="3"/>
    </row>
    <row r="113" spans="1:10" ht="17.100000000000001" hidden="1" customHeight="1">
      <c r="A113" s="57" t="s">
        <v>50</v>
      </c>
      <c r="B113" s="115">
        <f t="shared" ref="B113" si="60">C113/1.2</f>
        <v>416.66666666666669</v>
      </c>
      <c r="C113" s="56">
        <v>500</v>
      </c>
      <c r="D113" s="8"/>
      <c r="E113" s="105"/>
      <c r="F113" s="109">
        <f t="shared" si="59"/>
        <v>0</v>
      </c>
      <c r="G113" s="41" t="s">
        <v>5</v>
      </c>
      <c r="H113" s="22">
        <f t="shared" ref="H113:H115" si="61">B113+I113</f>
        <v>416.66666666666669</v>
      </c>
      <c r="I113" s="2"/>
      <c r="J113" s="3"/>
    </row>
    <row r="114" spans="1:10" ht="17.100000000000001" customHeight="1">
      <c r="A114" s="57" t="s">
        <v>72</v>
      </c>
      <c r="B114" s="115">
        <f t="shared" ref="B114:B116" si="62">C114/1.2</f>
        <v>400</v>
      </c>
      <c r="C114" s="56">
        <v>480</v>
      </c>
      <c r="D114" s="8"/>
      <c r="E114" s="105">
        <v>304.2</v>
      </c>
      <c r="F114" s="109">
        <f t="shared" ref="F114" si="63">E114*B114</f>
        <v>121680</v>
      </c>
      <c r="G114" s="41" t="s">
        <v>5</v>
      </c>
      <c r="H114" s="22">
        <f t="shared" si="61"/>
        <v>400</v>
      </c>
      <c r="I114" s="2"/>
      <c r="J114" s="3"/>
    </row>
    <row r="115" spans="1:10" ht="17.100000000000001" customHeight="1">
      <c r="A115" s="57" t="s">
        <v>242</v>
      </c>
      <c r="B115" s="115">
        <f t="shared" si="62"/>
        <v>433.33333333333337</v>
      </c>
      <c r="C115" s="56">
        <v>520</v>
      </c>
      <c r="D115" s="55"/>
      <c r="E115" s="105">
        <v>347.6</v>
      </c>
      <c r="F115" s="109">
        <v>148375</v>
      </c>
      <c r="G115" s="41" t="s">
        <v>5</v>
      </c>
      <c r="H115" s="22">
        <f t="shared" si="61"/>
        <v>433.33333333333337</v>
      </c>
      <c r="I115" s="2"/>
      <c r="J115" s="3"/>
    </row>
    <row r="116" spans="1:10" ht="17.100000000000001" customHeight="1">
      <c r="A116" s="57" t="s">
        <v>237</v>
      </c>
      <c r="B116" s="115">
        <f t="shared" si="62"/>
        <v>325</v>
      </c>
      <c r="C116" s="56">
        <v>390</v>
      </c>
      <c r="D116" s="8"/>
      <c r="E116" s="105">
        <v>1357</v>
      </c>
      <c r="F116" s="109">
        <f t="shared" ref="F116" si="64">E116*B116</f>
        <v>441025</v>
      </c>
      <c r="G116" s="41" t="s">
        <v>5</v>
      </c>
      <c r="H116" s="22">
        <f t="shared" ref="H116" si="65">B116+I116</f>
        <v>658.33333333333337</v>
      </c>
      <c r="I116" s="8">
        <f>400/1.2</f>
        <v>333.33333333333337</v>
      </c>
      <c r="J116" s="3"/>
    </row>
    <row r="117" spans="1:10" ht="17.100000000000001" customHeight="1">
      <c r="A117" s="57" t="s">
        <v>206</v>
      </c>
      <c r="B117" s="115">
        <f t="shared" ref="B117:B120" si="66">C117/1.2</f>
        <v>433.33333333333337</v>
      </c>
      <c r="C117" s="56">
        <v>520</v>
      </c>
      <c r="D117" s="55"/>
      <c r="E117" s="105">
        <v>24.6</v>
      </c>
      <c r="F117" s="109">
        <f t="shared" si="59"/>
        <v>10660.000000000002</v>
      </c>
      <c r="G117" s="41" t="s">
        <v>5</v>
      </c>
      <c r="H117" s="22">
        <f t="shared" si="55"/>
        <v>433.33333333333337</v>
      </c>
      <c r="I117" s="2"/>
      <c r="J117" s="3"/>
    </row>
    <row r="118" spans="1:10" ht="17.100000000000001" customHeight="1">
      <c r="A118" s="57" t="s">
        <v>180</v>
      </c>
      <c r="B118" s="115">
        <f t="shared" si="66"/>
        <v>433.33333333333337</v>
      </c>
      <c r="C118" s="56">
        <v>520</v>
      </c>
      <c r="D118" s="55"/>
      <c r="E118" s="105">
        <v>12.7</v>
      </c>
      <c r="F118" s="109">
        <f t="shared" si="59"/>
        <v>5503.3333333333339</v>
      </c>
      <c r="G118" s="41" t="s">
        <v>5</v>
      </c>
      <c r="H118" s="22">
        <f t="shared" si="55"/>
        <v>433.33333333333337</v>
      </c>
      <c r="I118" s="2"/>
      <c r="J118" s="3"/>
    </row>
    <row r="119" spans="1:10" ht="17.100000000000001" customHeight="1">
      <c r="A119" s="57" t="s">
        <v>265</v>
      </c>
      <c r="B119" s="115">
        <f t="shared" si="66"/>
        <v>433.33333333333337</v>
      </c>
      <c r="C119" s="56">
        <v>520</v>
      </c>
      <c r="D119" s="55"/>
      <c r="E119" s="105">
        <v>13</v>
      </c>
      <c r="F119" s="109">
        <f t="shared" si="59"/>
        <v>5633.3333333333339</v>
      </c>
      <c r="G119" s="41" t="s">
        <v>5</v>
      </c>
      <c r="H119" s="22">
        <f t="shared" si="55"/>
        <v>433.33333333333337</v>
      </c>
      <c r="I119" s="2"/>
      <c r="J119" s="3"/>
    </row>
    <row r="120" spans="1:10" ht="17.100000000000001" customHeight="1">
      <c r="A120" s="57" t="s">
        <v>159</v>
      </c>
      <c r="B120" s="115">
        <f t="shared" si="66"/>
        <v>433.33333333333337</v>
      </c>
      <c r="C120" s="56">
        <v>520</v>
      </c>
      <c r="D120" s="55"/>
      <c r="E120" s="105">
        <v>77.8</v>
      </c>
      <c r="F120" s="109">
        <f t="shared" si="59"/>
        <v>33713.333333333336</v>
      </c>
      <c r="G120" s="41" t="s">
        <v>5</v>
      </c>
      <c r="H120" s="22">
        <f t="shared" si="55"/>
        <v>433.33333333333337</v>
      </c>
      <c r="I120" s="2"/>
      <c r="J120" s="3"/>
    </row>
    <row r="121" spans="1:10" ht="17.100000000000001" customHeight="1">
      <c r="A121" s="57" t="s">
        <v>266</v>
      </c>
      <c r="B121" s="115">
        <f t="shared" si="0"/>
        <v>433.33333333333337</v>
      </c>
      <c r="C121" s="56">
        <v>520</v>
      </c>
      <c r="D121" s="8"/>
      <c r="E121" s="105">
        <v>29.6</v>
      </c>
      <c r="F121" s="109">
        <f t="shared" si="54"/>
        <v>12826.666666666668</v>
      </c>
      <c r="G121" s="41" t="s">
        <v>5</v>
      </c>
      <c r="H121" s="22">
        <f t="shared" si="55"/>
        <v>433.33333333333337</v>
      </c>
      <c r="I121" s="2"/>
      <c r="J121" s="3"/>
    </row>
    <row r="122" spans="1:10" ht="17.100000000000001" customHeight="1">
      <c r="A122" s="57" t="s">
        <v>267</v>
      </c>
      <c r="B122" s="115">
        <f t="shared" si="0"/>
        <v>433.33333333333337</v>
      </c>
      <c r="C122" s="56">
        <v>520</v>
      </c>
      <c r="D122" s="8"/>
      <c r="E122" s="105">
        <v>38.1</v>
      </c>
      <c r="F122" s="109">
        <f t="shared" si="54"/>
        <v>16510.000000000004</v>
      </c>
      <c r="G122" s="41" t="s">
        <v>5</v>
      </c>
      <c r="H122" s="22">
        <f t="shared" si="55"/>
        <v>433.33333333333337</v>
      </c>
      <c r="I122" s="2"/>
      <c r="J122" s="3"/>
    </row>
    <row r="123" spans="1:10" ht="17.100000000000001" hidden="1" customHeight="1">
      <c r="A123" s="57" t="s">
        <v>189</v>
      </c>
      <c r="B123" s="115">
        <f t="shared" ref="B123" si="67">C123/1.2</f>
        <v>433.33333333333337</v>
      </c>
      <c r="C123" s="56">
        <v>520</v>
      </c>
      <c r="D123" s="8"/>
      <c r="E123" s="105"/>
      <c r="F123" s="109">
        <f t="shared" ref="F123" si="68">E123*B123</f>
        <v>0</v>
      </c>
      <c r="G123" s="41" t="s">
        <v>5</v>
      </c>
      <c r="H123" s="22">
        <f t="shared" si="55"/>
        <v>433.33333333333337</v>
      </c>
      <c r="I123" s="2"/>
      <c r="J123" s="3"/>
    </row>
    <row r="124" spans="1:10" ht="17.100000000000001" hidden="1" customHeight="1">
      <c r="A124" s="57" t="s">
        <v>139</v>
      </c>
      <c r="B124" s="115">
        <f t="shared" si="0"/>
        <v>416.66666666666669</v>
      </c>
      <c r="C124" s="56">
        <v>500</v>
      </c>
      <c r="D124" s="8"/>
      <c r="E124" s="105"/>
      <c r="F124" s="109">
        <f t="shared" si="54"/>
        <v>0</v>
      </c>
      <c r="G124" s="41" t="s">
        <v>5</v>
      </c>
      <c r="H124" s="22">
        <f t="shared" ref="H124" si="69">B124+I124</f>
        <v>416.66666666666669</v>
      </c>
      <c r="I124" s="2"/>
      <c r="J124" s="3"/>
    </row>
    <row r="125" spans="1:10" ht="17.100000000000001" customHeight="1">
      <c r="A125" s="57" t="s">
        <v>136</v>
      </c>
      <c r="B125" s="115">
        <f t="shared" ref="B125" si="70">C125/1.2</f>
        <v>433.33333333333337</v>
      </c>
      <c r="C125" s="56">
        <v>520</v>
      </c>
      <c r="D125" s="8"/>
      <c r="E125" s="105">
        <v>358.3</v>
      </c>
      <c r="F125" s="109">
        <f t="shared" ref="F125" si="71">E125*B125</f>
        <v>155263.33333333334</v>
      </c>
      <c r="G125" s="41" t="s">
        <v>5</v>
      </c>
      <c r="H125" s="22">
        <f t="shared" ref="H125" si="72">B125+I125</f>
        <v>433.33333333333337</v>
      </c>
      <c r="I125" s="2"/>
      <c r="J125" s="3"/>
    </row>
    <row r="126" spans="1:10" ht="17.100000000000001" customHeight="1">
      <c r="A126" s="57" t="s">
        <v>74</v>
      </c>
      <c r="B126" s="115">
        <f t="shared" si="0"/>
        <v>400</v>
      </c>
      <c r="C126" s="56">
        <v>480</v>
      </c>
      <c r="D126" s="8"/>
      <c r="E126" s="105">
        <v>1531.7</v>
      </c>
      <c r="F126" s="109">
        <f t="shared" ref="F126:F134" si="73">E126*B126</f>
        <v>612680</v>
      </c>
      <c r="G126" s="41" t="s">
        <v>5</v>
      </c>
      <c r="H126" s="22">
        <f t="shared" si="55"/>
        <v>400</v>
      </c>
      <c r="I126" s="2"/>
      <c r="J126" s="3"/>
    </row>
    <row r="127" spans="1:10" ht="17.100000000000001" customHeight="1">
      <c r="A127" s="57" t="s">
        <v>48</v>
      </c>
      <c r="B127" s="115">
        <f>F127/E127</f>
        <v>405.70277777777778</v>
      </c>
      <c r="C127" s="56">
        <f>B127*1.2</f>
        <v>486.84333333333331</v>
      </c>
      <c r="D127" s="55"/>
      <c r="E127" s="105">
        <v>39.6</v>
      </c>
      <c r="F127" s="109">
        <v>16065.83</v>
      </c>
      <c r="G127" s="41" t="s">
        <v>5</v>
      </c>
      <c r="H127" s="22">
        <f t="shared" si="55"/>
        <v>405.70277777777778</v>
      </c>
      <c r="I127" s="2"/>
      <c r="J127" s="3"/>
    </row>
    <row r="128" spans="1:10" ht="17.100000000000001" hidden="1" customHeight="1">
      <c r="A128" s="57" t="s">
        <v>111</v>
      </c>
      <c r="B128" s="115">
        <f t="shared" si="0"/>
        <v>433.33333333333337</v>
      </c>
      <c r="C128" s="56">
        <v>520</v>
      </c>
      <c r="D128" s="8"/>
      <c r="E128" s="105"/>
      <c r="F128" s="109">
        <f t="shared" si="73"/>
        <v>0</v>
      </c>
      <c r="G128" s="41" t="s">
        <v>5</v>
      </c>
      <c r="H128" s="22">
        <f t="shared" si="55"/>
        <v>433.33333333333337</v>
      </c>
      <c r="I128" s="2"/>
      <c r="J128" s="3"/>
    </row>
    <row r="129" spans="1:10" ht="17.100000000000001" customHeight="1">
      <c r="A129" s="57" t="s">
        <v>223</v>
      </c>
      <c r="B129" s="115">
        <f t="shared" si="0"/>
        <v>433.33333333333337</v>
      </c>
      <c r="C129" s="56">
        <v>520</v>
      </c>
      <c r="D129" s="8"/>
      <c r="E129" s="105">
        <v>31.2</v>
      </c>
      <c r="F129" s="109">
        <f t="shared" si="73"/>
        <v>13520</v>
      </c>
      <c r="G129" s="41" t="s">
        <v>5</v>
      </c>
      <c r="H129" s="22">
        <f t="shared" si="55"/>
        <v>433.33333333333337</v>
      </c>
      <c r="I129" s="2"/>
      <c r="J129" s="3"/>
    </row>
    <row r="130" spans="1:10" ht="17.100000000000001" customHeight="1">
      <c r="A130" s="57" t="s">
        <v>130</v>
      </c>
      <c r="B130" s="115">
        <f t="shared" si="0"/>
        <v>433.33333333333337</v>
      </c>
      <c r="C130" s="56">
        <v>520</v>
      </c>
      <c r="D130" s="8"/>
      <c r="E130" s="105">
        <v>35.700000000000003</v>
      </c>
      <c r="F130" s="109">
        <f t="shared" si="73"/>
        <v>15470.000000000002</v>
      </c>
      <c r="G130" s="41" t="s">
        <v>5</v>
      </c>
      <c r="H130" s="22">
        <f t="shared" si="55"/>
        <v>433.33333333333337</v>
      </c>
      <c r="I130" s="2"/>
      <c r="J130" s="3"/>
    </row>
    <row r="131" spans="1:10" ht="17.100000000000001" customHeight="1">
      <c r="A131" s="192" t="s">
        <v>234</v>
      </c>
      <c r="B131" s="115">
        <f t="shared" si="0"/>
        <v>416.66666666666669</v>
      </c>
      <c r="C131" s="56">
        <v>500</v>
      </c>
      <c r="D131" s="8"/>
      <c r="E131" s="105">
        <v>41.5</v>
      </c>
      <c r="F131" s="109">
        <f t="shared" si="73"/>
        <v>17291.666666666668</v>
      </c>
      <c r="G131" s="41" t="s">
        <v>5</v>
      </c>
      <c r="H131" s="22">
        <f t="shared" si="55"/>
        <v>416.66666666666669</v>
      </c>
      <c r="I131" s="2"/>
      <c r="J131" s="194"/>
    </row>
    <row r="132" spans="1:10" ht="17.100000000000001" customHeight="1">
      <c r="A132" s="186" t="s">
        <v>41</v>
      </c>
      <c r="B132" s="115">
        <f t="shared" si="0"/>
        <v>366.66666666666669</v>
      </c>
      <c r="C132" s="56">
        <v>440</v>
      </c>
      <c r="D132" s="8"/>
      <c r="E132" s="105">
        <v>2855.4</v>
      </c>
      <c r="F132" s="109">
        <f t="shared" si="73"/>
        <v>1046980.0000000001</v>
      </c>
      <c r="G132" s="41" t="s">
        <v>5</v>
      </c>
      <c r="H132" s="22">
        <f t="shared" si="55"/>
        <v>366.66666666666669</v>
      </c>
      <c r="I132" s="2"/>
      <c r="J132" s="2"/>
    </row>
    <row r="133" spans="1:10" ht="17.100000000000001" customHeight="1">
      <c r="A133" s="186" t="s">
        <v>185</v>
      </c>
      <c r="B133" s="115">
        <f t="shared" si="0"/>
        <v>433.33333333333337</v>
      </c>
      <c r="C133" s="56">
        <v>520</v>
      </c>
      <c r="D133" s="8"/>
      <c r="E133" s="105">
        <v>877.7</v>
      </c>
      <c r="F133" s="109">
        <f t="shared" si="73"/>
        <v>380336.66666666674</v>
      </c>
      <c r="G133" s="41" t="s">
        <v>5</v>
      </c>
      <c r="H133" s="22">
        <f t="shared" si="55"/>
        <v>433.33333333333337</v>
      </c>
      <c r="I133" s="2"/>
      <c r="J133" s="2"/>
    </row>
    <row r="134" spans="1:10" ht="17.100000000000001" customHeight="1" thickBot="1">
      <c r="A134" s="91" t="s">
        <v>51</v>
      </c>
      <c r="B134" s="137">
        <f t="shared" ref="B134" si="74">C134/1.2</f>
        <v>425</v>
      </c>
      <c r="C134" s="92">
        <v>510</v>
      </c>
      <c r="D134" s="93"/>
      <c r="E134" s="136">
        <v>83</v>
      </c>
      <c r="F134" s="165">
        <f t="shared" si="73"/>
        <v>35275</v>
      </c>
      <c r="G134" s="94" t="s">
        <v>5</v>
      </c>
      <c r="H134" s="72">
        <f t="shared" si="55"/>
        <v>425</v>
      </c>
      <c r="I134" s="95"/>
      <c r="J134" s="96"/>
    </row>
    <row r="135" spans="1:10" s="25" customFormat="1" ht="30" customHeight="1" thickBot="1">
      <c r="A135" s="102" t="s">
        <v>29</v>
      </c>
      <c r="B135" s="112">
        <f>F135/E135</f>
        <v>383.84665472854203</v>
      </c>
      <c r="C135" s="42"/>
      <c r="D135" s="43">
        <v>73000</v>
      </c>
      <c r="E135" s="44">
        <f>SUM(E6:E134)</f>
        <v>62326.929999999971</v>
      </c>
      <c r="F135" s="43">
        <f>SUM(F6:F134)</f>
        <v>23923983.579999998</v>
      </c>
      <c r="G135" s="45"/>
      <c r="H135" s="43">
        <f t="shared" si="55"/>
        <v>383.84665472854203</v>
      </c>
      <c r="I135" s="43"/>
      <c r="J135" s="46"/>
    </row>
    <row r="136" spans="1:10" s="23" customFormat="1" ht="24.95" customHeight="1" thickBot="1">
      <c r="A136" s="223" t="s">
        <v>25</v>
      </c>
      <c r="B136" s="224"/>
      <c r="C136" s="224"/>
      <c r="D136" s="224"/>
      <c r="E136" s="224"/>
      <c r="F136" s="224"/>
      <c r="G136" s="224"/>
      <c r="H136" s="224"/>
      <c r="I136" s="224"/>
      <c r="J136" s="225"/>
    </row>
    <row r="137" spans="1:10" s="23" customFormat="1" ht="17.100000000000001" customHeight="1">
      <c r="A137" s="65" t="s">
        <v>211</v>
      </c>
      <c r="B137" s="115">
        <f t="shared" ref="B137:B138" si="75">C137/1.2</f>
        <v>433.33333333333337</v>
      </c>
      <c r="C137" s="66">
        <v>520</v>
      </c>
      <c r="D137" s="67"/>
      <c r="E137" s="118">
        <v>18.8</v>
      </c>
      <c r="F137" s="109">
        <f t="shared" ref="F137" si="76">E137*B137</f>
        <v>8146.6666666666679</v>
      </c>
      <c r="G137" s="71" t="s">
        <v>5</v>
      </c>
      <c r="H137" s="22">
        <f t="shared" ref="H137" si="77">C137+I137+J137</f>
        <v>520</v>
      </c>
      <c r="I137" s="9"/>
      <c r="J137" s="10"/>
    </row>
    <row r="138" spans="1:10" s="23" customFormat="1" ht="17.100000000000001" customHeight="1">
      <c r="A138" s="65" t="s">
        <v>88</v>
      </c>
      <c r="B138" s="115">
        <f t="shared" si="75"/>
        <v>433.33333333333337</v>
      </c>
      <c r="C138" s="66">
        <v>520</v>
      </c>
      <c r="D138" s="67"/>
      <c r="E138" s="118">
        <v>59.1</v>
      </c>
      <c r="F138" s="109">
        <f t="shared" ref="F138:F139" si="78">E138*B138</f>
        <v>25610.000000000004</v>
      </c>
      <c r="G138" s="71" t="s">
        <v>5</v>
      </c>
      <c r="H138" s="22">
        <f t="shared" ref="H138:H139" si="79">C138+I138+J138</f>
        <v>520</v>
      </c>
      <c r="I138" s="9"/>
      <c r="J138" s="10"/>
    </row>
    <row r="139" spans="1:10" s="23" customFormat="1" ht="17.100000000000001" hidden="1" customHeight="1">
      <c r="A139" s="65" t="s">
        <v>56</v>
      </c>
      <c r="B139" s="115">
        <f t="shared" ref="B139:B149" si="80">C139/1.2</f>
        <v>0</v>
      </c>
      <c r="C139" s="66"/>
      <c r="D139" s="67"/>
      <c r="E139" s="118"/>
      <c r="F139" s="109">
        <f t="shared" si="78"/>
        <v>0</v>
      </c>
      <c r="G139" s="71" t="s">
        <v>5</v>
      </c>
      <c r="H139" s="22">
        <f t="shared" si="79"/>
        <v>0</v>
      </c>
      <c r="I139" s="9"/>
      <c r="J139" s="10"/>
    </row>
    <row r="140" spans="1:10" s="23" customFormat="1" ht="17.100000000000001" hidden="1" customHeight="1">
      <c r="A140" s="65" t="s">
        <v>93</v>
      </c>
      <c r="B140" s="115">
        <f t="shared" si="80"/>
        <v>0</v>
      </c>
      <c r="C140" s="56"/>
      <c r="D140" s="55"/>
      <c r="E140" s="105"/>
      <c r="F140" s="109">
        <f>E140*B140</f>
        <v>0</v>
      </c>
      <c r="G140" s="41" t="s">
        <v>5</v>
      </c>
      <c r="H140" s="22">
        <f t="shared" ref="H140:H143" si="81">B140+I140</f>
        <v>0</v>
      </c>
      <c r="I140" s="9"/>
      <c r="J140" s="10"/>
    </row>
    <row r="141" spans="1:10" s="23" customFormat="1" ht="17.100000000000001" customHeight="1">
      <c r="A141" s="65" t="s">
        <v>49</v>
      </c>
      <c r="B141" s="115">
        <f t="shared" si="80"/>
        <v>425</v>
      </c>
      <c r="C141" s="66">
        <v>510</v>
      </c>
      <c r="D141" s="67"/>
      <c r="E141" s="118">
        <v>76.3</v>
      </c>
      <c r="F141" s="109">
        <f t="shared" ref="F141" si="82">E141*B141</f>
        <v>32427.5</v>
      </c>
      <c r="G141" s="71" t="s">
        <v>5</v>
      </c>
      <c r="H141" s="22">
        <f t="shared" ref="H141" si="83">C141+I141+J141</f>
        <v>510</v>
      </c>
      <c r="I141" s="9"/>
      <c r="J141" s="10"/>
    </row>
    <row r="142" spans="1:10" s="23" customFormat="1" ht="17.100000000000001" customHeight="1">
      <c r="A142" s="65" t="s">
        <v>161</v>
      </c>
      <c r="B142" s="115">
        <f t="shared" ref="B142" si="84">C142/1.2</f>
        <v>433.33333333333337</v>
      </c>
      <c r="C142" s="56">
        <v>520</v>
      </c>
      <c r="D142" s="55"/>
      <c r="E142" s="105">
        <v>110.3</v>
      </c>
      <c r="F142" s="109">
        <f t="shared" ref="F142:F147" si="85">E142*B142</f>
        <v>47796.666666666672</v>
      </c>
      <c r="G142" s="41" t="s">
        <v>5</v>
      </c>
      <c r="H142" s="22">
        <f t="shared" si="81"/>
        <v>433.33333333333337</v>
      </c>
      <c r="I142" s="9"/>
      <c r="J142" s="10"/>
    </row>
    <row r="143" spans="1:10" s="23" customFormat="1" ht="17.100000000000001" customHeight="1">
      <c r="A143" s="65" t="s">
        <v>92</v>
      </c>
      <c r="B143" s="115">
        <f t="shared" si="80"/>
        <v>425</v>
      </c>
      <c r="C143" s="56">
        <v>510</v>
      </c>
      <c r="D143" s="55"/>
      <c r="E143" s="105">
        <v>103</v>
      </c>
      <c r="F143" s="109">
        <f t="shared" si="85"/>
        <v>43775</v>
      </c>
      <c r="G143" s="41" t="s">
        <v>5</v>
      </c>
      <c r="H143" s="22">
        <f t="shared" si="81"/>
        <v>425</v>
      </c>
      <c r="I143" s="9"/>
      <c r="J143" s="10"/>
    </row>
    <row r="144" spans="1:10" s="23" customFormat="1" ht="17.100000000000001" customHeight="1">
      <c r="A144" s="57" t="s">
        <v>17</v>
      </c>
      <c r="B144" s="115">
        <f t="shared" si="80"/>
        <v>383.33333333333337</v>
      </c>
      <c r="C144" s="56">
        <v>460</v>
      </c>
      <c r="D144" s="55"/>
      <c r="E144" s="105">
        <v>40.4</v>
      </c>
      <c r="F144" s="109">
        <f t="shared" si="85"/>
        <v>15486.666666666668</v>
      </c>
      <c r="G144" s="41" t="s">
        <v>5</v>
      </c>
      <c r="H144" s="22">
        <f t="shared" ref="H144:H146" si="86">B144+I144</f>
        <v>383.33333333333337</v>
      </c>
      <c r="I144" s="8"/>
      <c r="J144" s="7"/>
    </row>
    <row r="145" spans="1:10" s="23" customFormat="1" ht="17.100000000000001" customHeight="1">
      <c r="A145" s="57" t="s">
        <v>248</v>
      </c>
      <c r="B145" s="115">
        <f t="shared" si="80"/>
        <v>383.33333333333337</v>
      </c>
      <c r="C145" s="56">
        <v>460</v>
      </c>
      <c r="D145" s="55"/>
      <c r="E145" s="105">
        <v>427.7</v>
      </c>
      <c r="F145" s="109">
        <f t="shared" si="85"/>
        <v>163951.66666666669</v>
      </c>
      <c r="G145" s="41" t="s">
        <v>5</v>
      </c>
      <c r="H145" s="22">
        <f t="shared" si="86"/>
        <v>383.33333333333337</v>
      </c>
      <c r="I145" s="8"/>
      <c r="J145" s="7"/>
    </row>
    <row r="146" spans="1:10" s="23" customFormat="1" ht="17.100000000000001" customHeight="1">
      <c r="A146" s="57" t="s">
        <v>255</v>
      </c>
      <c r="B146" s="115">
        <f t="shared" si="80"/>
        <v>383.33333333333337</v>
      </c>
      <c r="C146" s="56">
        <v>460</v>
      </c>
      <c r="D146" s="55"/>
      <c r="E146" s="105">
        <v>57.1</v>
      </c>
      <c r="F146" s="109">
        <f t="shared" si="85"/>
        <v>21888.333333333336</v>
      </c>
      <c r="G146" s="41" t="s">
        <v>5</v>
      </c>
      <c r="H146" s="22">
        <f t="shared" si="86"/>
        <v>383.33333333333337</v>
      </c>
      <c r="I146" s="8"/>
      <c r="J146" s="7"/>
    </row>
    <row r="147" spans="1:10" s="23" customFormat="1" ht="17.100000000000001" customHeight="1">
      <c r="A147" s="57" t="s">
        <v>192</v>
      </c>
      <c r="B147" s="115">
        <f t="shared" ref="B147" si="87">C147/1.2</f>
        <v>425</v>
      </c>
      <c r="C147" s="56">
        <v>510</v>
      </c>
      <c r="D147" s="55"/>
      <c r="E147" s="105">
        <v>252.5</v>
      </c>
      <c r="F147" s="109">
        <f t="shared" si="85"/>
        <v>107312.5</v>
      </c>
      <c r="G147" s="41" t="s">
        <v>5</v>
      </c>
      <c r="H147" s="22">
        <f t="shared" ref="H147" si="88">B147+I147</f>
        <v>425</v>
      </c>
      <c r="I147" s="8"/>
      <c r="J147" s="7"/>
    </row>
    <row r="148" spans="1:10" s="23" customFormat="1" ht="17.100000000000001" customHeight="1">
      <c r="A148" s="57" t="s">
        <v>118</v>
      </c>
      <c r="B148" s="115">
        <f>F148/E148</f>
        <v>398.95367077274551</v>
      </c>
      <c r="C148" s="56">
        <f>B148*1.2</f>
        <v>478.74440492729457</v>
      </c>
      <c r="D148" s="55"/>
      <c r="E148" s="105">
        <v>6478.2</v>
      </c>
      <c r="F148" s="109">
        <v>2584501.67</v>
      </c>
      <c r="G148" s="41" t="s">
        <v>5</v>
      </c>
      <c r="H148" s="22">
        <f t="shared" ref="H148:H149" si="89">B148+I148</f>
        <v>754.78700410607894</v>
      </c>
      <c r="I148" s="8">
        <f>427/1.2</f>
        <v>355.83333333333337</v>
      </c>
      <c r="J148" s="7"/>
    </row>
    <row r="149" spans="1:10" s="23" customFormat="1" ht="17.100000000000001" customHeight="1">
      <c r="A149" s="57" t="s">
        <v>187</v>
      </c>
      <c r="B149" s="115">
        <f t="shared" si="80"/>
        <v>425</v>
      </c>
      <c r="C149" s="56">
        <v>510</v>
      </c>
      <c r="D149" s="55"/>
      <c r="E149" s="105">
        <v>342.5</v>
      </c>
      <c r="F149" s="109">
        <f t="shared" ref="F149" si="90">E149*B149</f>
        <v>145562.5</v>
      </c>
      <c r="G149" s="41" t="s">
        <v>5</v>
      </c>
      <c r="H149" s="22">
        <f t="shared" si="89"/>
        <v>425</v>
      </c>
      <c r="I149" s="8"/>
      <c r="J149" s="7"/>
    </row>
    <row r="150" spans="1:10" s="23" customFormat="1" ht="17.100000000000001" customHeight="1">
      <c r="A150" s="57" t="s">
        <v>67</v>
      </c>
      <c r="B150" s="115">
        <f>F150/E150</f>
        <v>400.83149508004112</v>
      </c>
      <c r="C150" s="56">
        <f>B150*1.2</f>
        <v>480.99779409604935</v>
      </c>
      <c r="D150" s="55"/>
      <c r="E150" s="105">
        <v>1361.8</v>
      </c>
      <c r="F150" s="109">
        <v>545852.32999999996</v>
      </c>
      <c r="G150" s="41" t="s">
        <v>5</v>
      </c>
      <c r="H150" s="22">
        <f t="shared" ref="H150" si="91">B150+I150</f>
        <v>765.83149508004112</v>
      </c>
      <c r="I150" s="8">
        <f>438/1.2</f>
        <v>365</v>
      </c>
      <c r="J150" s="3"/>
    </row>
    <row r="151" spans="1:10" s="23" customFormat="1" ht="17.100000000000001" hidden="1" customHeight="1">
      <c r="A151" s="57" t="s">
        <v>98</v>
      </c>
      <c r="B151" s="115">
        <f t="shared" ref="B151:B275" si="92">C151/1.2</f>
        <v>0</v>
      </c>
      <c r="C151" s="56"/>
      <c r="D151" s="55"/>
      <c r="E151" s="105"/>
      <c r="F151" s="109">
        <f t="shared" ref="F151:F162" si="93">E151*B151</f>
        <v>0</v>
      </c>
      <c r="G151" s="41" t="s">
        <v>5</v>
      </c>
      <c r="H151" s="22">
        <f t="shared" ref="H151:H175" si="94">B151+I151</f>
        <v>0</v>
      </c>
      <c r="I151" s="2"/>
      <c r="J151" s="3"/>
    </row>
    <row r="152" spans="1:10" s="23" customFormat="1" ht="17.100000000000001" hidden="1" customHeight="1">
      <c r="A152" s="57" t="s">
        <v>144</v>
      </c>
      <c r="B152" s="115">
        <f t="shared" ref="B152" si="95">C152/1.2</f>
        <v>433.33333333333337</v>
      </c>
      <c r="C152" s="56">
        <v>520</v>
      </c>
      <c r="D152" s="55"/>
      <c r="E152" s="105"/>
      <c r="F152" s="109">
        <f t="shared" ref="F152" si="96">E152*B152</f>
        <v>0</v>
      </c>
      <c r="G152" s="41" t="s">
        <v>5</v>
      </c>
      <c r="H152" s="22">
        <f t="shared" ref="H152" si="97">B152+I152</f>
        <v>433.33333333333337</v>
      </c>
      <c r="I152" s="2"/>
      <c r="J152" s="3"/>
    </row>
    <row r="153" spans="1:10" s="23" customFormat="1" ht="17.100000000000001" customHeight="1">
      <c r="A153" s="57" t="s">
        <v>43</v>
      </c>
      <c r="B153" s="115">
        <f t="shared" si="92"/>
        <v>425</v>
      </c>
      <c r="C153" s="56">
        <v>510</v>
      </c>
      <c r="D153" s="55"/>
      <c r="E153" s="105">
        <v>1162.7</v>
      </c>
      <c r="F153" s="109">
        <f t="shared" si="93"/>
        <v>494147.5</v>
      </c>
      <c r="G153" s="41" t="s">
        <v>5</v>
      </c>
      <c r="H153" s="22">
        <f t="shared" si="94"/>
        <v>425</v>
      </c>
      <c r="I153" s="2"/>
      <c r="J153" s="3"/>
    </row>
    <row r="154" spans="1:10" s="23" customFormat="1" ht="17.100000000000001" hidden="1" customHeight="1">
      <c r="A154" s="57" t="s">
        <v>106</v>
      </c>
      <c r="B154" s="115">
        <f t="shared" ref="B154" si="98">C154/1.2</f>
        <v>433.33333333333337</v>
      </c>
      <c r="C154" s="56">
        <v>520</v>
      </c>
      <c r="D154" s="55"/>
      <c r="E154" s="105"/>
      <c r="F154" s="109">
        <f t="shared" si="93"/>
        <v>0</v>
      </c>
      <c r="G154" s="41" t="s">
        <v>5</v>
      </c>
      <c r="H154" s="22">
        <f t="shared" ref="H154" si="99">B154+I154</f>
        <v>433.33333333333337</v>
      </c>
      <c r="I154" s="2"/>
      <c r="J154" s="3"/>
    </row>
    <row r="155" spans="1:10" s="23" customFormat="1" ht="17.100000000000001" hidden="1" customHeight="1">
      <c r="A155" s="57" t="s">
        <v>107</v>
      </c>
      <c r="B155" s="115">
        <f t="shared" ref="B155:B160" si="100">C155/1.2</f>
        <v>433.33333333333337</v>
      </c>
      <c r="C155" s="56">
        <v>520</v>
      </c>
      <c r="D155" s="55"/>
      <c r="E155" s="105"/>
      <c r="F155" s="109">
        <f t="shared" si="93"/>
        <v>0</v>
      </c>
      <c r="G155" s="41" t="s">
        <v>5</v>
      </c>
      <c r="H155" s="22">
        <f t="shared" ref="H155:H160" si="101">B155+I155</f>
        <v>433.33333333333337</v>
      </c>
      <c r="I155" s="8"/>
      <c r="J155" s="7"/>
    </row>
    <row r="156" spans="1:10" s="23" customFormat="1" ht="17.100000000000001" hidden="1" customHeight="1">
      <c r="A156" s="57" t="s">
        <v>199</v>
      </c>
      <c r="B156" s="115">
        <f t="shared" si="100"/>
        <v>400</v>
      </c>
      <c r="C156" s="56">
        <v>480</v>
      </c>
      <c r="D156" s="55"/>
      <c r="E156" s="105"/>
      <c r="F156" s="109">
        <f t="shared" si="93"/>
        <v>0</v>
      </c>
      <c r="G156" s="41" t="s">
        <v>5</v>
      </c>
      <c r="H156" s="22">
        <f t="shared" si="101"/>
        <v>400</v>
      </c>
      <c r="I156" s="8"/>
      <c r="J156" s="7"/>
    </row>
    <row r="157" spans="1:10" s="23" customFormat="1" ht="17.100000000000001" hidden="1" customHeight="1">
      <c r="A157" s="57" t="s">
        <v>168</v>
      </c>
      <c r="B157" s="115">
        <f t="shared" si="100"/>
        <v>433.33333333333337</v>
      </c>
      <c r="C157" s="56">
        <v>520</v>
      </c>
      <c r="D157" s="55"/>
      <c r="E157" s="105"/>
      <c r="F157" s="109">
        <f t="shared" ref="F157" si="102">E157*B157</f>
        <v>0</v>
      </c>
      <c r="G157" s="41" t="s">
        <v>5</v>
      </c>
      <c r="H157" s="22">
        <f t="shared" ref="H157" si="103">B157+I157</f>
        <v>433.33333333333337</v>
      </c>
      <c r="I157" s="8"/>
      <c r="J157" s="7"/>
    </row>
    <row r="158" spans="1:10" s="23" customFormat="1" ht="17.100000000000001" hidden="1" customHeight="1">
      <c r="A158" s="57" t="s">
        <v>135</v>
      </c>
      <c r="B158" s="115">
        <f t="shared" ref="B158" si="104">C158/1.2</f>
        <v>0</v>
      </c>
      <c r="C158" s="56"/>
      <c r="D158" s="55"/>
      <c r="E158" s="105"/>
      <c r="F158" s="109">
        <f t="shared" ref="F158" si="105">E158*B158</f>
        <v>0</v>
      </c>
      <c r="G158" s="41" t="s">
        <v>5</v>
      </c>
      <c r="H158" s="22">
        <f t="shared" ref="H158:H159" si="106">B158+I158</f>
        <v>0</v>
      </c>
      <c r="I158" s="8"/>
      <c r="J158" s="7"/>
    </row>
    <row r="159" spans="1:10" s="23" customFormat="1" ht="17.100000000000001" hidden="1" customHeight="1">
      <c r="A159" s="57" t="s">
        <v>175</v>
      </c>
      <c r="B159" s="115" t="e">
        <f>F159/E159</f>
        <v>#DIV/0!</v>
      </c>
      <c r="C159" s="56" t="e">
        <f>B159*1.2</f>
        <v>#DIV/0!</v>
      </c>
      <c r="D159" s="55"/>
      <c r="E159" s="105"/>
      <c r="F159" s="109"/>
      <c r="G159" s="41" t="s">
        <v>5</v>
      </c>
      <c r="H159" s="22" t="e">
        <f t="shared" si="106"/>
        <v>#DIV/0!</v>
      </c>
      <c r="I159" s="8"/>
      <c r="J159" s="7"/>
    </row>
    <row r="160" spans="1:10" s="23" customFormat="1" ht="17.100000000000001" hidden="1" customHeight="1">
      <c r="A160" s="57" t="s">
        <v>34</v>
      </c>
      <c r="B160" s="115">
        <f t="shared" si="100"/>
        <v>416.66666666666669</v>
      </c>
      <c r="C160" s="56">
        <v>500</v>
      </c>
      <c r="D160" s="55"/>
      <c r="E160" s="105"/>
      <c r="F160" s="109">
        <f t="shared" si="93"/>
        <v>0</v>
      </c>
      <c r="G160" s="41" t="s">
        <v>5</v>
      </c>
      <c r="H160" s="22">
        <f t="shared" si="101"/>
        <v>416.66666666666669</v>
      </c>
      <c r="I160" s="8"/>
      <c r="J160" s="7"/>
    </row>
    <row r="161" spans="1:10" s="23" customFormat="1" ht="17.100000000000001" customHeight="1">
      <c r="A161" s="57" t="s">
        <v>236</v>
      </c>
      <c r="B161" s="115">
        <f t="shared" ref="B161:B162" si="107">C161/1.2</f>
        <v>400</v>
      </c>
      <c r="C161" s="56">
        <v>480</v>
      </c>
      <c r="D161" s="55"/>
      <c r="E161" s="105">
        <v>933.7</v>
      </c>
      <c r="F161" s="109">
        <f t="shared" si="93"/>
        <v>373480</v>
      </c>
      <c r="G161" s="41" t="s">
        <v>5</v>
      </c>
      <c r="H161" s="22">
        <f t="shared" ref="H161:H162" si="108">B161+I161</f>
        <v>400</v>
      </c>
      <c r="I161" s="8"/>
      <c r="J161" s="7"/>
    </row>
    <row r="162" spans="1:10" s="23" customFormat="1" ht="17.100000000000001" customHeight="1">
      <c r="A162" s="57" t="s">
        <v>47</v>
      </c>
      <c r="B162" s="115">
        <f t="shared" si="107"/>
        <v>433.33333333333337</v>
      </c>
      <c r="C162" s="56">
        <v>520</v>
      </c>
      <c r="D162" s="55"/>
      <c r="E162" s="105">
        <v>72.5</v>
      </c>
      <c r="F162" s="109">
        <f t="shared" si="93"/>
        <v>31416.666666666668</v>
      </c>
      <c r="G162" s="41" t="s">
        <v>5</v>
      </c>
      <c r="H162" s="22">
        <f t="shared" si="108"/>
        <v>433.33333333333337</v>
      </c>
      <c r="I162" s="8"/>
      <c r="J162" s="7"/>
    </row>
    <row r="163" spans="1:10" s="23" customFormat="1" ht="17.100000000000001" customHeight="1">
      <c r="A163" s="57" t="s">
        <v>134</v>
      </c>
      <c r="B163" s="115">
        <f t="shared" ref="B163:B166" si="109">C163/1.2</f>
        <v>425</v>
      </c>
      <c r="C163" s="56">
        <v>510</v>
      </c>
      <c r="D163" s="55"/>
      <c r="E163" s="105">
        <v>68.3</v>
      </c>
      <c r="F163" s="109">
        <f t="shared" ref="F163:F264" si="110">E163*B163</f>
        <v>29027.5</v>
      </c>
      <c r="G163" s="41" t="s">
        <v>5</v>
      </c>
      <c r="H163" s="22">
        <f t="shared" ref="H163" si="111">B163+I163</f>
        <v>425</v>
      </c>
      <c r="I163" s="8"/>
      <c r="J163" s="7"/>
    </row>
    <row r="164" spans="1:10" s="23" customFormat="1" ht="17.100000000000001" hidden="1" customHeight="1">
      <c r="A164" s="57" t="s">
        <v>20</v>
      </c>
      <c r="B164" s="115">
        <f t="shared" si="109"/>
        <v>383.33333333333337</v>
      </c>
      <c r="C164" s="56">
        <v>460</v>
      </c>
      <c r="D164" s="55"/>
      <c r="E164" s="105"/>
      <c r="F164" s="109">
        <f t="shared" si="110"/>
        <v>0</v>
      </c>
      <c r="G164" s="41" t="s">
        <v>5</v>
      </c>
      <c r="H164" s="22">
        <f>B164+I164</f>
        <v>383.33333333333337</v>
      </c>
      <c r="I164" s="8"/>
      <c r="J164" s="7"/>
    </row>
    <row r="165" spans="1:10" s="23" customFormat="1" ht="17.100000000000001" customHeight="1">
      <c r="A165" s="57" t="s">
        <v>52</v>
      </c>
      <c r="B165" s="115">
        <f t="shared" si="109"/>
        <v>425</v>
      </c>
      <c r="C165" s="56">
        <v>510</v>
      </c>
      <c r="D165" s="55"/>
      <c r="E165" s="105">
        <v>223.8</v>
      </c>
      <c r="F165" s="109">
        <f t="shared" ref="F165" si="112">E165*B165</f>
        <v>95115</v>
      </c>
      <c r="G165" s="41" t="s">
        <v>5</v>
      </c>
      <c r="H165" s="22">
        <f t="shared" ref="H165" si="113">B165+I165</f>
        <v>425</v>
      </c>
      <c r="I165" s="8"/>
      <c r="J165" s="7"/>
    </row>
    <row r="166" spans="1:10" s="23" customFormat="1" ht="17.100000000000001" hidden="1" customHeight="1">
      <c r="A166" s="57" t="s">
        <v>170</v>
      </c>
      <c r="B166" s="115">
        <f t="shared" si="109"/>
        <v>433.33333333333337</v>
      </c>
      <c r="C166" s="56">
        <v>520</v>
      </c>
      <c r="D166" s="55"/>
      <c r="E166" s="105"/>
      <c r="F166" s="109">
        <f t="shared" si="110"/>
        <v>0</v>
      </c>
      <c r="G166" s="41" t="s">
        <v>5</v>
      </c>
      <c r="H166" s="22">
        <f>B166+I166</f>
        <v>433.33333333333337</v>
      </c>
      <c r="I166" s="8"/>
      <c r="J166" s="7"/>
    </row>
    <row r="167" spans="1:10" s="23" customFormat="1" ht="17.100000000000001" customHeight="1">
      <c r="A167" s="57" t="s">
        <v>197</v>
      </c>
      <c r="B167" s="115">
        <f t="shared" ref="B167:B168" si="114">C167/1.2</f>
        <v>414.16666666666669</v>
      </c>
      <c r="C167" s="56">
        <v>497</v>
      </c>
      <c r="D167" s="55"/>
      <c r="E167" s="105">
        <v>1427.4</v>
      </c>
      <c r="F167" s="109">
        <f t="shared" ref="F167:F168" si="115">E167*B167</f>
        <v>591181.50000000012</v>
      </c>
      <c r="G167" s="41" t="s">
        <v>5</v>
      </c>
      <c r="H167" s="22">
        <f t="shared" ref="H167:H168" si="116">B167+I167</f>
        <v>414.16666666666669</v>
      </c>
      <c r="I167" s="8"/>
      <c r="J167" s="7"/>
    </row>
    <row r="168" spans="1:10" s="23" customFormat="1" ht="17.100000000000001" hidden="1" customHeight="1">
      <c r="A168" s="57" t="s">
        <v>214</v>
      </c>
      <c r="B168" s="115">
        <f t="shared" si="114"/>
        <v>433.33333333333337</v>
      </c>
      <c r="C168" s="56">
        <v>520</v>
      </c>
      <c r="D168" s="55"/>
      <c r="E168" s="105"/>
      <c r="F168" s="109">
        <f t="shared" si="115"/>
        <v>0</v>
      </c>
      <c r="G168" s="41" t="s">
        <v>5</v>
      </c>
      <c r="H168" s="22">
        <f t="shared" si="116"/>
        <v>433.33333333333337</v>
      </c>
      <c r="I168" s="8"/>
      <c r="J168" s="7"/>
    </row>
    <row r="169" spans="1:10" s="23" customFormat="1" ht="17.100000000000001" hidden="1" customHeight="1">
      <c r="A169" s="57" t="s">
        <v>153</v>
      </c>
      <c r="B169" s="115">
        <f t="shared" si="92"/>
        <v>393.33333333333337</v>
      </c>
      <c r="C169" s="56">
        <v>472</v>
      </c>
      <c r="D169" s="55"/>
      <c r="E169" s="105"/>
      <c r="F169" s="109">
        <f t="shared" si="110"/>
        <v>0</v>
      </c>
      <c r="G169" s="41" t="s">
        <v>5</v>
      </c>
      <c r="H169" s="22">
        <f t="shared" si="94"/>
        <v>787.5</v>
      </c>
      <c r="I169" s="8">
        <f>473/1.2</f>
        <v>394.16666666666669</v>
      </c>
      <c r="J169" s="7"/>
    </row>
    <row r="170" spans="1:10" s="23" customFormat="1" ht="17.100000000000001" customHeight="1">
      <c r="A170" s="57" t="s">
        <v>231</v>
      </c>
      <c r="B170" s="115">
        <f t="shared" si="92"/>
        <v>416.66666666666669</v>
      </c>
      <c r="C170" s="56">
        <v>500</v>
      </c>
      <c r="D170" s="55"/>
      <c r="E170" s="105">
        <v>31.9</v>
      </c>
      <c r="F170" s="109">
        <f t="shared" si="110"/>
        <v>13291.666666666666</v>
      </c>
      <c r="G170" s="41" t="s">
        <v>5</v>
      </c>
      <c r="H170" s="22">
        <f t="shared" si="94"/>
        <v>416.66666666666669</v>
      </c>
      <c r="I170" s="8"/>
      <c r="J170" s="7"/>
    </row>
    <row r="171" spans="1:10" s="23" customFormat="1" ht="17.100000000000001" customHeight="1">
      <c r="A171" s="57" t="s">
        <v>121</v>
      </c>
      <c r="B171" s="115">
        <f t="shared" ref="B171:B172" si="117">C171/1.2</f>
        <v>433.33333333333337</v>
      </c>
      <c r="C171" s="56">
        <v>520</v>
      </c>
      <c r="D171" s="55"/>
      <c r="E171" s="105">
        <v>111.5</v>
      </c>
      <c r="F171" s="109">
        <f t="shared" ref="F171:F172" si="118">E171*B171</f>
        <v>48316.666666666672</v>
      </c>
      <c r="G171" s="41" t="s">
        <v>5</v>
      </c>
      <c r="H171" s="22">
        <f t="shared" si="94"/>
        <v>433.33333333333337</v>
      </c>
      <c r="I171" s="8"/>
      <c r="J171" s="7"/>
    </row>
    <row r="172" spans="1:10" s="23" customFormat="1" ht="17.100000000000001" customHeight="1">
      <c r="A172" s="57" t="s">
        <v>243</v>
      </c>
      <c r="B172" s="115">
        <f t="shared" si="117"/>
        <v>433.33333333333337</v>
      </c>
      <c r="C172" s="56">
        <v>520</v>
      </c>
      <c r="D172" s="55"/>
      <c r="E172" s="105">
        <v>343.6</v>
      </c>
      <c r="F172" s="109">
        <f t="shared" si="118"/>
        <v>148893.33333333334</v>
      </c>
      <c r="G172" s="41" t="s">
        <v>5</v>
      </c>
      <c r="H172" s="22">
        <f t="shared" si="94"/>
        <v>433.33333333333337</v>
      </c>
      <c r="I172" s="8"/>
      <c r="J172" s="7"/>
    </row>
    <row r="173" spans="1:10" s="23" customFormat="1" ht="17.100000000000001" customHeight="1">
      <c r="A173" s="57" t="s">
        <v>149</v>
      </c>
      <c r="B173" s="115">
        <f t="shared" si="92"/>
        <v>433.33333333333337</v>
      </c>
      <c r="C173" s="56">
        <v>520</v>
      </c>
      <c r="D173" s="55"/>
      <c r="E173" s="105">
        <v>33.5</v>
      </c>
      <c r="F173" s="109">
        <f t="shared" si="110"/>
        <v>14516.666666666668</v>
      </c>
      <c r="G173" s="41" t="s">
        <v>5</v>
      </c>
      <c r="H173" s="22">
        <f t="shared" si="94"/>
        <v>433.33333333333337</v>
      </c>
      <c r="I173" s="8"/>
      <c r="J173" s="7"/>
    </row>
    <row r="174" spans="1:10" s="23" customFormat="1" ht="17.100000000000001" customHeight="1">
      <c r="A174" s="57" t="s">
        <v>244</v>
      </c>
      <c r="B174" s="115">
        <f t="shared" si="92"/>
        <v>433.33333333333337</v>
      </c>
      <c r="C174" s="56">
        <v>520</v>
      </c>
      <c r="D174" s="55"/>
      <c r="E174" s="105">
        <v>4</v>
      </c>
      <c r="F174" s="109">
        <f t="shared" si="110"/>
        <v>1733.3333333333335</v>
      </c>
      <c r="G174" s="41" t="s">
        <v>5</v>
      </c>
      <c r="H174" s="22">
        <f t="shared" si="94"/>
        <v>433.33333333333337</v>
      </c>
      <c r="I174" s="8"/>
      <c r="J174" s="7"/>
    </row>
    <row r="175" spans="1:10" s="23" customFormat="1" ht="17.100000000000001" hidden="1" customHeight="1">
      <c r="A175" s="57" t="s">
        <v>193</v>
      </c>
      <c r="B175" s="115">
        <f t="shared" si="92"/>
        <v>433.33333333333337</v>
      </c>
      <c r="C175" s="56">
        <v>520</v>
      </c>
      <c r="D175" s="55"/>
      <c r="E175" s="105"/>
      <c r="F175" s="109">
        <f t="shared" si="110"/>
        <v>0</v>
      </c>
      <c r="G175" s="41" t="s">
        <v>5</v>
      </c>
      <c r="H175" s="22">
        <f t="shared" si="94"/>
        <v>433.33333333333337</v>
      </c>
      <c r="I175" s="8"/>
      <c r="J175" s="7"/>
    </row>
    <row r="176" spans="1:10" s="23" customFormat="1" ht="17.100000000000001" customHeight="1">
      <c r="A176" s="57" t="s">
        <v>142</v>
      </c>
      <c r="B176" s="115">
        <f>F176/E176</f>
        <v>449.16666666666669</v>
      </c>
      <c r="C176" s="56">
        <f>B176*1.2</f>
        <v>539</v>
      </c>
      <c r="D176" s="55"/>
      <c r="E176" s="105">
        <v>204.6</v>
      </c>
      <c r="F176" s="109">
        <v>91899.5</v>
      </c>
      <c r="G176" s="41" t="s">
        <v>5</v>
      </c>
      <c r="H176" s="22">
        <f t="shared" ref="H176:H193" si="119">B176+I176</f>
        <v>449.16666666666669</v>
      </c>
      <c r="I176" s="8"/>
      <c r="J176" s="7"/>
    </row>
    <row r="177" spans="1:10" s="23" customFormat="1" ht="16.5" customHeight="1">
      <c r="A177" s="57" t="s">
        <v>112</v>
      </c>
      <c r="B177" s="115">
        <f t="shared" si="92"/>
        <v>433.33333333333337</v>
      </c>
      <c r="C177" s="56">
        <v>520</v>
      </c>
      <c r="D177" s="55"/>
      <c r="E177" s="105">
        <v>219.6</v>
      </c>
      <c r="F177" s="109">
        <f t="shared" si="110"/>
        <v>95160</v>
      </c>
      <c r="G177" s="41" t="s">
        <v>5</v>
      </c>
      <c r="H177" s="22">
        <f t="shared" si="119"/>
        <v>433.33333333333337</v>
      </c>
      <c r="I177" s="8"/>
      <c r="J177" s="7"/>
    </row>
    <row r="178" spans="1:10" s="23" customFormat="1" ht="17.100000000000001" customHeight="1">
      <c r="A178" s="57" t="s">
        <v>233</v>
      </c>
      <c r="B178" s="115">
        <f t="shared" si="92"/>
        <v>433.33333333333337</v>
      </c>
      <c r="C178" s="56">
        <v>520</v>
      </c>
      <c r="D178" s="55"/>
      <c r="E178" s="105">
        <v>71.3</v>
      </c>
      <c r="F178" s="109">
        <f t="shared" si="110"/>
        <v>30896.666666666668</v>
      </c>
      <c r="G178" s="41" t="s">
        <v>5</v>
      </c>
      <c r="H178" s="22">
        <f t="shared" si="119"/>
        <v>433.33333333333337</v>
      </c>
      <c r="I178" s="8"/>
      <c r="J178" s="7"/>
    </row>
    <row r="179" spans="1:10" s="23" customFormat="1" ht="17.100000000000001" hidden="1" customHeight="1">
      <c r="A179" s="57" t="s">
        <v>64</v>
      </c>
      <c r="B179" s="115">
        <f t="shared" si="92"/>
        <v>341.66666666666669</v>
      </c>
      <c r="C179" s="56">
        <v>410</v>
      </c>
      <c r="D179" s="55"/>
      <c r="E179" s="105"/>
      <c r="F179" s="109">
        <f t="shared" si="110"/>
        <v>0</v>
      </c>
      <c r="G179" s="41" t="s">
        <v>5</v>
      </c>
      <c r="H179" s="22">
        <f t="shared" si="119"/>
        <v>675</v>
      </c>
      <c r="I179" s="8">
        <f>400/1.2</f>
        <v>333.33333333333337</v>
      </c>
      <c r="J179" s="7"/>
    </row>
    <row r="180" spans="1:10" s="23" customFormat="1" ht="17.100000000000001" hidden="1" customHeight="1">
      <c r="A180" s="57" t="s">
        <v>94</v>
      </c>
      <c r="B180" s="115">
        <f t="shared" si="92"/>
        <v>433.33333333333337</v>
      </c>
      <c r="C180" s="56">
        <v>520</v>
      </c>
      <c r="D180" s="55"/>
      <c r="E180" s="105"/>
      <c r="F180" s="109">
        <f t="shared" si="110"/>
        <v>0</v>
      </c>
      <c r="G180" s="41" t="s">
        <v>5</v>
      </c>
      <c r="H180" s="22">
        <f t="shared" si="119"/>
        <v>433.33333333333337</v>
      </c>
      <c r="I180" s="8"/>
      <c r="J180" s="7"/>
    </row>
    <row r="181" spans="1:10" s="23" customFormat="1" ht="17.100000000000001" hidden="1" customHeight="1">
      <c r="A181" s="57" t="s">
        <v>140</v>
      </c>
      <c r="B181" s="115">
        <f t="shared" ref="B181" si="120">C181/1.2</f>
        <v>416.66666666666669</v>
      </c>
      <c r="C181" s="56">
        <v>500</v>
      </c>
      <c r="D181" s="55"/>
      <c r="E181" s="105"/>
      <c r="F181" s="109">
        <f t="shared" ref="F181" si="121">E181*B181</f>
        <v>0</v>
      </c>
      <c r="G181" s="41" t="s">
        <v>5</v>
      </c>
      <c r="H181" s="22">
        <f t="shared" ref="H181" si="122">B181+I181</f>
        <v>416.66666666666669</v>
      </c>
      <c r="I181" s="8"/>
      <c r="J181" s="7"/>
    </row>
    <row r="182" spans="1:10" s="23" customFormat="1" ht="17.100000000000001" hidden="1" customHeight="1">
      <c r="A182" s="57" t="s">
        <v>173</v>
      </c>
      <c r="B182" s="115" t="e">
        <f>F182/E182</f>
        <v>#DIV/0!</v>
      </c>
      <c r="C182" s="56" t="e">
        <f>B182*1.2</f>
        <v>#DIV/0!</v>
      </c>
      <c r="D182" s="55"/>
      <c r="E182" s="105"/>
      <c r="F182" s="109">
        <v>0</v>
      </c>
      <c r="G182" s="41" t="s">
        <v>5</v>
      </c>
      <c r="H182" s="22" t="e">
        <f t="shared" si="119"/>
        <v>#DIV/0!</v>
      </c>
      <c r="I182" s="8"/>
      <c r="J182" s="7"/>
    </row>
    <row r="183" spans="1:10" s="23" customFormat="1" ht="17.100000000000001" hidden="1" customHeight="1">
      <c r="A183" s="57" t="s">
        <v>123</v>
      </c>
      <c r="B183" s="115">
        <f t="shared" si="92"/>
        <v>0</v>
      </c>
      <c r="C183" s="56"/>
      <c r="D183" s="55"/>
      <c r="E183" s="105"/>
      <c r="F183" s="109">
        <f t="shared" si="110"/>
        <v>0</v>
      </c>
      <c r="G183" s="41" t="s">
        <v>5</v>
      </c>
      <c r="H183" s="22">
        <f t="shared" si="119"/>
        <v>0</v>
      </c>
      <c r="I183" s="8"/>
      <c r="J183" s="7"/>
    </row>
    <row r="184" spans="1:10" s="23" customFormat="1" ht="17.100000000000001" customHeight="1">
      <c r="A184" s="57" t="s">
        <v>35</v>
      </c>
      <c r="B184" s="115">
        <f t="shared" si="92"/>
        <v>425</v>
      </c>
      <c r="C184" s="56">
        <v>510</v>
      </c>
      <c r="D184" s="55"/>
      <c r="E184" s="105">
        <v>70.900000000000006</v>
      </c>
      <c r="F184" s="109">
        <f t="shared" si="110"/>
        <v>30132.500000000004</v>
      </c>
      <c r="G184" s="41" t="s">
        <v>5</v>
      </c>
      <c r="H184" s="22">
        <f t="shared" si="119"/>
        <v>425</v>
      </c>
      <c r="I184" s="8"/>
      <c r="J184" s="7"/>
    </row>
    <row r="185" spans="1:10" s="23" customFormat="1" ht="17.100000000000001" hidden="1" customHeight="1">
      <c r="A185" s="57" t="s">
        <v>127</v>
      </c>
      <c r="B185" s="115">
        <f t="shared" si="92"/>
        <v>416.66666666666669</v>
      </c>
      <c r="C185" s="56">
        <v>500</v>
      </c>
      <c r="D185" s="55"/>
      <c r="E185" s="105"/>
      <c r="F185" s="109">
        <f t="shared" si="110"/>
        <v>0</v>
      </c>
      <c r="G185" s="41" t="s">
        <v>5</v>
      </c>
      <c r="H185" s="22">
        <f t="shared" si="119"/>
        <v>416.66666666666669</v>
      </c>
      <c r="I185" s="8"/>
      <c r="J185" s="7"/>
    </row>
    <row r="186" spans="1:10" s="23" customFormat="1" ht="17.100000000000001" hidden="1" customHeight="1">
      <c r="A186" s="57" t="s">
        <v>186</v>
      </c>
      <c r="B186" s="115">
        <f t="shared" si="92"/>
        <v>404.16666666666669</v>
      </c>
      <c r="C186" s="56">
        <v>485</v>
      </c>
      <c r="D186" s="55"/>
      <c r="E186" s="105"/>
      <c r="F186" s="109">
        <f t="shared" ref="F186:F188" si="123">E186*B186</f>
        <v>0</v>
      </c>
      <c r="G186" s="41" t="s">
        <v>5</v>
      </c>
      <c r="H186" s="22">
        <f t="shared" si="119"/>
        <v>675</v>
      </c>
      <c r="I186" s="8">
        <f>325/1.2</f>
        <v>270.83333333333337</v>
      </c>
      <c r="J186" s="7"/>
    </row>
    <row r="187" spans="1:10" s="23" customFormat="1" ht="17.100000000000001" customHeight="1">
      <c r="A187" s="57" t="s">
        <v>250</v>
      </c>
      <c r="B187" s="115">
        <f t="shared" si="92"/>
        <v>391.66666666666669</v>
      </c>
      <c r="C187" s="56">
        <v>470</v>
      </c>
      <c r="D187" s="55"/>
      <c r="E187" s="105">
        <v>15.2</v>
      </c>
      <c r="F187" s="109">
        <f t="shared" si="123"/>
        <v>5953.333333333333</v>
      </c>
      <c r="G187" s="41" t="s">
        <v>5</v>
      </c>
      <c r="H187" s="22">
        <f t="shared" si="119"/>
        <v>391.66666666666669</v>
      </c>
      <c r="I187" s="8"/>
      <c r="J187" s="7"/>
    </row>
    <row r="188" spans="1:10" s="23" customFormat="1" ht="17.100000000000001" customHeight="1">
      <c r="A188" s="57" t="s">
        <v>227</v>
      </c>
      <c r="B188" s="115">
        <f t="shared" si="92"/>
        <v>425</v>
      </c>
      <c r="C188" s="56">
        <v>510</v>
      </c>
      <c r="D188" s="55"/>
      <c r="E188" s="105">
        <v>23.6</v>
      </c>
      <c r="F188" s="109">
        <f t="shared" si="123"/>
        <v>10030</v>
      </c>
      <c r="G188" s="41" t="s">
        <v>5</v>
      </c>
      <c r="H188" s="22">
        <f t="shared" ref="H188" si="124">B188+I188</f>
        <v>425</v>
      </c>
      <c r="I188" s="8"/>
      <c r="J188" s="7"/>
    </row>
    <row r="189" spans="1:10" s="23" customFormat="1" ht="17.100000000000001" customHeight="1">
      <c r="A189" s="57" t="s">
        <v>182</v>
      </c>
      <c r="B189" s="115">
        <f>C189</f>
        <v>530</v>
      </c>
      <c r="C189" s="56">
        <v>530</v>
      </c>
      <c r="D189" s="55"/>
      <c r="E189" s="105">
        <v>2435.5</v>
      </c>
      <c r="F189" s="109">
        <f t="shared" si="110"/>
        <v>1290815</v>
      </c>
      <c r="G189" s="41" t="s">
        <v>5</v>
      </c>
      <c r="H189" s="22">
        <f t="shared" ref="H189:H191" si="125">B189+I189</f>
        <v>1210</v>
      </c>
      <c r="I189" s="8">
        <v>680</v>
      </c>
      <c r="J189" s="7"/>
    </row>
    <row r="190" spans="1:10" s="23" customFormat="1" ht="17.100000000000001" hidden="1" customHeight="1">
      <c r="A190" s="57" t="s">
        <v>194</v>
      </c>
      <c r="B190" s="115">
        <f t="shared" si="92"/>
        <v>433.33333333333337</v>
      </c>
      <c r="C190" s="56">
        <v>520</v>
      </c>
      <c r="D190" s="55"/>
      <c r="E190" s="105"/>
      <c r="F190" s="109">
        <f>E190*B190</f>
        <v>0</v>
      </c>
      <c r="G190" s="41" t="s">
        <v>5</v>
      </c>
      <c r="H190" s="22">
        <f t="shared" si="125"/>
        <v>433.33333333333337</v>
      </c>
      <c r="I190" s="8"/>
      <c r="J190" s="7"/>
    </row>
    <row r="191" spans="1:10" s="23" customFormat="1" ht="17.100000000000001" customHeight="1">
      <c r="A191" s="57" t="s">
        <v>90</v>
      </c>
      <c r="B191" s="115">
        <f t="shared" si="92"/>
        <v>425</v>
      </c>
      <c r="C191" s="56">
        <v>510</v>
      </c>
      <c r="D191" s="55"/>
      <c r="E191" s="105">
        <v>37.6</v>
      </c>
      <c r="F191" s="109">
        <f>E191*B191</f>
        <v>15980</v>
      </c>
      <c r="G191" s="41" t="s">
        <v>5</v>
      </c>
      <c r="H191" s="22">
        <f t="shared" si="125"/>
        <v>425</v>
      </c>
      <c r="I191" s="8"/>
      <c r="J191" s="7"/>
    </row>
    <row r="192" spans="1:10" s="23" customFormat="1" ht="17.100000000000001" customHeight="1">
      <c r="A192" s="57" t="s">
        <v>179</v>
      </c>
      <c r="B192" s="115">
        <f t="shared" si="92"/>
        <v>433.33333333333337</v>
      </c>
      <c r="C192" s="56">
        <v>520</v>
      </c>
      <c r="D192" s="55"/>
      <c r="E192" s="105">
        <v>208.3</v>
      </c>
      <c r="F192" s="109">
        <v>90263.33</v>
      </c>
      <c r="G192" s="41" t="s">
        <v>5</v>
      </c>
      <c r="H192" s="22">
        <f t="shared" ref="H192" si="126">B192+I192</f>
        <v>433.33333333333337</v>
      </c>
      <c r="I192" s="8"/>
      <c r="J192" s="7"/>
    </row>
    <row r="193" spans="1:10" s="23" customFormat="1" ht="17.100000000000001" customHeight="1">
      <c r="A193" s="57" t="s">
        <v>154</v>
      </c>
      <c r="B193" s="115">
        <f t="shared" si="92"/>
        <v>433.33333333333337</v>
      </c>
      <c r="C193" s="56">
        <v>520</v>
      </c>
      <c r="D193" s="55"/>
      <c r="E193" s="105">
        <v>75.5</v>
      </c>
      <c r="F193" s="109">
        <f t="shared" si="110"/>
        <v>32716.666666666668</v>
      </c>
      <c r="G193" s="41" t="s">
        <v>5</v>
      </c>
      <c r="H193" s="22">
        <f t="shared" si="119"/>
        <v>433.33333333333337</v>
      </c>
      <c r="I193" s="8"/>
      <c r="J193" s="7"/>
    </row>
    <row r="194" spans="1:10" s="23" customFormat="1" ht="17.100000000000001" customHeight="1">
      <c r="A194" s="57" t="s">
        <v>14</v>
      </c>
      <c r="B194" s="115">
        <f t="shared" si="92"/>
        <v>333.33333333333337</v>
      </c>
      <c r="C194" s="56">
        <v>400</v>
      </c>
      <c r="D194" s="55"/>
      <c r="E194" s="105">
        <v>7195.2</v>
      </c>
      <c r="F194" s="109">
        <f>E194*B194</f>
        <v>2398400</v>
      </c>
      <c r="G194" s="41" t="s">
        <v>5</v>
      </c>
      <c r="H194" s="22">
        <f t="shared" ref="H194:H211" si="127">B194+I194</f>
        <v>333.33333333333337</v>
      </c>
      <c r="I194" s="8"/>
      <c r="J194" s="7"/>
    </row>
    <row r="195" spans="1:10" s="23" customFormat="1" ht="17.100000000000001" hidden="1" customHeight="1">
      <c r="A195" s="57" t="s">
        <v>81</v>
      </c>
      <c r="B195" s="115">
        <f t="shared" si="92"/>
        <v>383.33333333333337</v>
      </c>
      <c r="C195" s="56">
        <v>460</v>
      </c>
      <c r="D195" s="55"/>
      <c r="E195" s="105"/>
      <c r="F195" s="109">
        <f t="shared" si="110"/>
        <v>0</v>
      </c>
      <c r="G195" s="41" t="s">
        <v>5</v>
      </c>
      <c r="H195" s="22">
        <f t="shared" si="127"/>
        <v>691.66666666666674</v>
      </c>
      <c r="I195" s="8">
        <f>370/1.2</f>
        <v>308.33333333333337</v>
      </c>
      <c r="J195" s="7"/>
    </row>
    <row r="196" spans="1:10" s="23" customFormat="1" ht="17.100000000000001" customHeight="1">
      <c r="A196" s="57" t="s">
        <v>200</v>
      </c>
      <c r="B196" s="115">
        <f t="shared" si="92"/>
        <v>425</v>
      </c>
      <c r="C196" s="56">
        <v>510</v>
      </c>
      <c r="D196" s="55"/>
      <c r="E196" s="105">
        <v>236.5</v>
      </c>
      <c r="F196" s="109">
        <f t="shared" si="110"/>
        <v>100512.5</v>
      </c>
      <c r="G196" s="41" t="s">
        <v>5</v>
      </c>
      <c r="H196" s="22">
        <f t="shared" si="127"/>
        <v>425</v>
      </c>
      <c r="I196" s="8"/>
      <c r="J196" s="7"/>
    </row>
    <row r="197" spans="1:10" s="23" customFormat="1" ht="17.100000000000001" hidden="1" customHeight="1">
      <c r="A197" s="57" t="s">
        <v>201</v>
      </c>
      <c r="B197" s="115">
        <f t="shared" si="92"/>
        <v>433.33333333333337</v>
      </c>
      <c r="C197" s="56">
        <v>520</v>
      </c>
      <c r="D197" s="55"/>
      <c r="E197" s="105"/>
      <c r="F197" s="109">
        <f t="shared" si="110"/>
        <v>0</v>
      </c>
      <c r="G197" s="41" t="s">
        <v>5</v>
      </c>
      <c r="H197" s="22">
        <f t="shared" si="127"/>
        <v>433.33333333333337</v>
      </c>
      <c r="I197" s="8"/>
      <c r="J197" s="7"/>
    </row>
    <row r="198" spans="1:10" s="23" customFormat="1" ht="17.100000000000001" hidden="1" customHeight="1">
      <c r="A198" s="57" t="s">
        <v>169</v>
      </c>
      <c r="B198" s="115">
        <f t="shared" si="92"/>
        <v>433.33333333333337</v>
      </c>
      <c r="C198" s="56">
        <v>520</v>
      </c>
      <c r="D198" s="55"/>
      <c r="E198" s="105"/>
      <c r="F198" s="109">
        <f t="shared" si="110"/>
        <v>0</v>
      </c>
      <c r="G198" s="41" t="s">
        <v>5</v>
      </c>
      <c r="H198" s="22">
        <f t="shared" si="127"/>
        <v>433.33333333333337</v>
      </c>
      <c r="I198" s="8"/>
      <c r="J198" s="7"/>
    </row>
    <row r="199" spans="1:10" s="23" customFormat="1" ht="17.100000000000001" hidden="1" customHeight="1">
      <c r="A199" s="57" t="s">
        <v>157</v>
      </c>
      <c r="B199" s="115">
        <f>C199</f>
        <v>421</v>
      </c>
      <c r="C199" s="56">
        <v>421</v>
      </c>
      <c r="D199" s="55"/>
      <c r="E199" s="105"/>
      <c r="F199" s="109">
        <f t="shared" si="110"/>
        <v>0</v>
      </c>
      <c r="G199" s="41" t="s">
        <v>5</v>
      </c>
      <c r="H199" s="179">
        <f t="shared" ref="H199" si="128">B199+I199</f>
        <v>1140</v>
      </c>
      <c r="I199" s="8">
        <v>719</v>
      </c>
      <c r="J199" s="7"/>
    </row>
    <row r="200" spans="1:10" s="23" customFormat="1" ht="17.100000000000001" customHeight="1">
      <c r="A200" s="57" t="s">
        <v>191</v>
      </c>
      <c r="B200" s="115">
        <f>F200/E200</f>
        <v>374.3106752054864</v>
      </c>
      <c r="C200" s="56">
        <f>B200*1.2</f>
        <v>449.17281024658365</v>
      </c>
      <c r="D200" s="55"/>
      <c r="E200" s="105">
        <v>1983.1</v>
      </c>
      <c r="F200" s="109">
        <v>742295.5</v>
      </c>
      <c r="G200" s="41" t="s">
        <v>5</v>
      </c>
      <c r="H200" s="22">
        <f>B200+I200</f>
        <v>690.97734187215315</v>
      </c>
      <c r="I200" s="8">
        <f>380/1.2</f>
        <v>316.66666666666669</v>
      </c>
      <c r="J200" s="7"/>
    </row>
    <row r="201" spans="1:10" s="23" customFormat="1" ht="17.100000000000001" customHeight="1">
      <c r="A201" s="57" t="s">
        <v>119</v>
      </c>
      <c r="B201" s="115">
        <f t="shared" ref="B201:B203" si="129">C201/1.2</f>
        <v>433.33333333333337</v>
      </c>
      <c r="C201" s="56">
        <v>520</v>
      </c>
      <c r="D201" s="55"/>
      <c r="E201" s="105">
        <v>24.5</v>
      </c>
      <c r="F201" s="109">
        <f t="shared" ref="F201:F203" si="130">E201*B201</f>
        <v>10616.666666666668</v>
      </c>
      <c r="G201" s="41" t="s">
        <v>5</v>
      </c>
      <c r="H201" s="22">
        <f>B201+I201</f>
        <v>433.33333333333337</v>
      </c>
      <c r="I201" s="8"/>
      <c r="J201" s="7"/>
    </row>
    <row r="202" spans="1:10" s="23" customFormat="1" ht="17.100000000000001" hidden="1" customHeight="1">
      <c r="A202" s="57" t="s">
        <v>69</v>
      </c>
      <c r="B202" s="115" t="e">
        <f>F202/E202</f>
        <v>#DIV/0!</v>
      </c>
      <c r="C202" s="56" t="e">
        <f>B202*1.2</f>
        <v>#DIV/0!</v>
      </c>
      <c r="D202" s="55"/>
      <c r="E202" s="105"/>
      <c r="F202" s="109"/>
      <c r="G202" s="41" t="s">
        <v>5</v>
      </c>
      <c r="H202" s="22" t="e">
        <f>B202+I202</f>
        <v>#DIV/0!</v>
      </c>
      <c r="I202" s="8"/>
      <c r="J202" s="7"/>
    </row>
    <row r="203" spans="1:10" s="23" customFormat="1" ht="17.100000000000001" hidden="1" customHeight="1">
      <c r="A203" s="57" t="s">
        <v>213</v>
      </c>
      <c r="B203" s="115">
        <f t="shared" si="129"/>
        <v>433.33333333333337</v>
      </c>
      <c r="C203" s="56">
        <v>520</v>
      </c>
      <c r="D203" s="55"/>
      <c r="E203" s="105"/>
      <c r="F203" s="109">
        <f t="shared" si="130"/>
        <v>0</v>
      </c>
      <c r="G203" s="41" t="s">
        <v>5</v>
      </c>
      <c r="H203" s="22">
        <f t="shared" ref="H203" si="131">B203+I203</f>
        <v>433.33333333333337</v>
      </c>
      <c r="I203" s="8"/>
      <c r="J203" s="7"/>
    </row>
    <row r="204" spans="1:10" s="23" customFormat="1" ht="17.100000000000001" customHeight="1">
      <c r="A204" s="57" t="s">
        <v>54</v>
      </c>
      <c r="B204" s="115">
        <f t="shared" ref="B204" si="132">C204/1.2</f>
        <v>383.33333333333337</v>
      </c>
      <c r="C204" s="56">
        <v>460</v>
      </c>
      <c r="D204" s="55"/>
      <c r="E204" s="105">
        <v>38.799999999999997</v>
      </c>
      <c r="F204" s="109">
        <f t="shared" ref="F204" si="133">E204*B204</f>
        <v>14873.333333333334</v>
      </c>
      <c r="G204" s="41" t="s">
        <v>5</v>
      </c>
      <c r="H204" s="22">
        <f t="shared" si="127"/>
        <v>383.33333333333337</v>
      </c>
      <c r="I204" s="8"/>
      <c r="J204" s="7"/>
    </row>
    <row r="205" spans="1:10" s="23" customFormat="1" ht="17.100000000000001" hidden="1" customHeight="1">
      <c r="A205" s="57" t="s">
        <v>61</v>
      </c>
      <c r="B205" s="115">
        <f t="shared" si="92"/>
        <v>416.66666666666669</v>
      </c>
      <c r="C205" s="56">
        <v>500</v>
      </c>
      <c r="D205" s="55"/>
      <c r="E205" s="105"/>
      <c r="F205" s="109">
        <f t="shared" si="110"/>
        <v>0</v>
      </c>
      <c r="G205" s="41" t="s">
        <v>5</v>
      </c>
      <c r="H205" s="22">
        <f t="shared" si="127"/>
        <v>416.66666666666669</v>
      </c>
      <c r="I205" s="8"/>
      <c r="J205" s="7"/>
    </row>
    <row r="206" spans="1:10" s="23" customFormat="1" ht="17.100000000000001" customHeight="1">
      <c r="A206" s="57" t="s">
        <v>238</v>
      </c>
      <c r="B206" s="115">
        <f t="shared" si="92"/>
        <v>433.33333333333337</v>
      </c>
      <c r="C206" s="56">
        <v>520</v>
      </c>
      <c r="D206" s="55"/>
      <c r="E206" s="105">
        <v>71</v>
      </c>
      <c r="F206" s="109">
        <f t="shared" si="110"/>
        <v>30766.666666666668</v>
      </c>
      <c r="G206" s="41" t="s">
        <v>5</v>
      </c>
      <c r="H206" s="22">
        <f t="shared" si="127"/>
        <v>433.33333333333337</v>
      </c>
      <c r="I206" s="8"/>
      <c r="J206" s="7"/>
    </row>
    <row r="207" spans="1:10" s="23" customFormat="1" ht="17.100000000000001" customHeight="1">
      <c r="A207" s="57" t="s">
        <v>260</v>
      </c>
      <c r="B207" s="115">
        <f t="shared" si="92"/>
        <v>433.33333333333337</v>
      </c>
      <c r="C207" s="56">
        <v>520</v>
      </c>
      <c r="D207" s="55"/>
      <c r="E207" s="105">
        <v>81.400000000000006</v>
      </c>
      <c r="F207" s="109">
        <f t="shared" ref="F207" si="134">E207*B207</f>
        <v>35273.333333333336</v>
      </c>
      <c r="G207" s="41" t="s">
        <v>5</v>
      </c>
      <c r="H207" s="22">
        <f t="shared" si="127"/>
        <v>433.33333333333337</v>
      </c>
      <c r="I207" s="8"/>
      <c r="J207" s="7"/>
    </row>
    <row r="208" spans="1:10" s="23" customFormat="1" ht="17.100000000000001" customHeight="1">
      <c r="A208" s="57" t="s">
        <v>83</v>
      </c>
      <c r="B208" s="115">
        <f>C208</f>
        <v>500</v>
      </c>
      <c r="C208" s="56">
        <v>500</v>
      </c>
      <c r="D208" s="55"/>
      <c r="E208" s="105">
        <v>474</v>
      </c>
      <c r="F208" s="109">
        <f t="shared" si="110"/>
        <v>237000</v>
      </c>
      <c r="G208" s="41" t="s">
        <v>5</v>
      </c>
      <c r="H208" s="22">
        <f t="shared" si="127"/>
        <v>1510.01</v>
      </c>
      <c r="I208" s="8">
        <v>1010.01</v>
      </c>
      <c r="J208" s="7"/>
    </row>
    <row r="209" spans="1:10" s="23" customFormat="1" ht="17.100000000000001" hidden="1" customHeight="1">
      <c r="A209" s="57" t="s">
        <v>28</v>
      </c>
      <c r="B209" s="115">
        <f t="shared" ref="B209" si="135">C209/1.2</f>
        <v>433.33333333333337</v>
      </c>
      <c r="C209" s="56">
        <v>520</v>
      </c>
      <c r="D209" s="55"/>
      <c r="E209" s="105"/>
      <c r="F209" s="109">
        <f t="shared" ref="F209" si="136">E209*B209</f>
        <v>0</v>
      </c>
      <c r="G209" s="41" t="s">
        <v>5</v>
      </c>
      <c r="H209" s="22">
        <f t="shared" ref="H209" si="137">B209+I209</f>
        <v>433.33333333333337</v>
      </c>
      <c r="I209" s="8"/>
      <c r="J209" s="7"/>
    </row>
    <row r="210" spans="1:10" s="23" customFormat="1" ht="17.100000000000001" customHeight="1">
      <c r="A210" s="57" t="s">
        <v>22</v>
      </c>
      <c r="B210" s="115">
        <f t="shared" si="92"/>
        <v>416.66666666666669</v>
      </c>
      <c r="C210" s="56">
        <v>500</v>
      </c>
      <c r="D210" s="55"/>
      <c r="E210" s="105">
        <v>32.799999999999997</v>
      </c>
      <c r="F210" s="109">
        <f t="shared" si="110"/>
        <v>13666.666666666666</v>
      </c>
      <c r="G210" s="41" t="s">
        <v>5</v>
      </c>
      <c r="H210" s="22">
        <f t="shared" si="127"/>
        <v>416.66666666666669</v>
      </c>
      <c r="I210" s="8"/>
      <c r="J210" s="7"/>
    </row>
    <row r="211" spans="1:10" s="23" customFormat="1" ht="17.100000000000001" customHeight="1">
      <c r="A211" s="57" t="s">
        <v>39</v>
      </c>
      <c r="B211" s="115">
        <f t="shared" si="92"/>
        <v>425</v>
      </c>
      <c r="C211" s="56">
        <v>510</v>
      </c>
      <c r="D211" s="55"/>
      <c r="E211" s="105">
        <v>249.3</v>
      </c>
      <c r="F211" s="109">
        <f t="shared" si="110"/>
        <v>105952.5</v>
      </c>
      <c r="G211" s="41" t="s">
        <v>5</v>
      </c>
      <c r="H211" s="22">
        <f t="shared" si="127"/>
        <v>425</v>
      </c>
      <c r="I211" s="8"/>
      <c r="J211" s="7"/>
    </row>
    <row r="212" spans="1:10" s="23" customFormat="1" ht="17.100000000000001" customHeight="1">
      <c r="A212" s="57" t="s">
        <v>269</v>
      </c>
      <c r="B212" s="115">
        <f t="shared" si="92"/>
        <v>433.33333333333337</v>
      </c>
      <c r="C212" s="56">
        <v>520</v>
      </c>
      <c r="D212" s="55"/>
      <c r="E212" s="105">
        <v>26</v>
      </c>
      <c r="F212" s="109">
        <f t="shared" si="110"/>
        <v>11266.666666666668</v>
      </c>
      <c r="G212" s="41" t="s">
        <v>5</v>
      </c>
      <c r="H212" s="22">
        <f t="shared" ref="H212:H213" si="138">B212+I212</f>
        <v>433.33333333333337</v>
      </c>
      <c r="I212" s="8"/>
      <c r="J212" s="7"/>
    </row>
    <row r="213" spans="1:10" s="23" customFormat="1" ht="17.100000000000001" customHeight="1">
      <c r="A213" s="57" t="s">
        <v>251</v>
      </c>
      <c r="B213" s="115">
        <f t="shared" si="92"/>
        <v>391.66666666666669</v>
      </c>
      <c r="C213" s="56">
        <v>470</v>
      </c>
      <c r="D213" s="55"/>
      <c r="E213" s="105">
        <v>24</v>
      </c>
      <c r="F213" s="109">
        <f t="shared" si="110"/>
        <v>9400</v>
      </c>
      <c r="G213" s="41" t="s">
        <v>5</v>
      </c>
      <c r="H213" s="22">
        <f t="shared" si="138"/>
        <v>391.66666666666669</v>
      </c>
      <c r="I213" s="8"/>
      <c r="J213" s="7"/>
    </row>
    <row r="214" spans="1:10" s="23" customFormat="1" ht="17.100000000000001" customHeight="1">
      <c r="A214" s="57" t="s">
        <v>91</v>
      </c>
      <c r="B214" s="115">
        <f t="shared" si="92"/>
        <v>400</v>
      </c>
      <c r="C214" s="56">
        <v>480</v>
      </c>
      <c r="D214" s="55"/>
      <c r="E214" s="105">
        <v>346.3</v>
      </c>
      <c r="F214" s="109">
        <f t="shared" si="110"/>
        <v>138520</v>
      </c>
      <c r="G214" s="41" t="s">
        <v>5</v>
      </c>
      <c r="H214" s="22">
        <f t="shared" ref="H214:H223" si="139">B214+I214</f>
        <v>400</v>
      </c>
      <c r="I214" s="8"/>
      <c r="J214" s="7"/>
    </row>
    <row r="215" spans="1:10" s="23" customFormat="1" ht="17.100000000000001" customHeight="1">
      <c r="A215" s="57" t="s">
        <v>99</v>
      </c>
      <c r="B215" s="115">
        <f t="shared" ref="B215" si="140">C215/1.2</f>
        <v>433.33333333333337</v>
      </c>
      <c r="C215" s="56">
        <v>520</v>
      </c>
      <c r="D215" s="55"/>
      <c r="E215" s="105">
        <v>236.2</v>
      </c>
      <c r="F215" s="109">
        <f t="shared" si="110"/>
        <v>102353.33333333334</v>
      </c>
      <c r="G215" s="41" t="s">
        <v>5</v>
      </c>
      <c r="H215" s="22">
        <f t="shared" ref="H215" si="141">B215+I215</f>
        <v>433.33333333333337</v>
      </c>
      <c r="I215" s="8"/>
      <c r="J215" s="7"/>
    </row>
    <row r="216" spans="1:10" s="23" customFormat="1" ht="17.100000000000001" customHeight="1">
      <c r="A216" s="57" t="s">
        <v>23</v>
      </c>
      <c r="B216" s="115">
        <f>F216/E216</f>
        <v>400.92146052583331</v>
      </c>
      <c r="C216" s="56">
        <f>B216*1.2</f>
        <v>481.10575263099997</v>
      </c>
      <c r="D216" s="55"/>
      <c r="E216" s="105">
        <v>5454.2</v>
      </c>
      <c r="F216" s="109">
        <v>2186705.83</v>
      </c>
      <c r="G216" s="41" t="s">
        <v>5</v>
      </c>
      <c r="H216" s="22">
        <f>B216+I216</f>
        <v>400.92146052583331</v>
      </c>
      <c r="I216" s="8"/>
      <c r="J216" s="7"/>
    </row>
    <row r="217" spans="1:10" s="23" customFormat="1" ht="17.100000000000001" customHeight="1">
      <c r="A217" s="57" t="s">
        <v>215</v>
      </c>
      <c r="B217" s="115">
        <f t="shared" si="92"/>
        <v>416.66666666666669</v>
      </c>
      <c r="C217" s="56">
        <v>500</v>
      </c>
      <c r="D217" s="55"/>
      <c r="E217" s="105">
        <v>422.9</v>
      </c>
      <c r="F217" s="109">
        <f t="shared" si="110"/>
        <v>176208.33333333334</v>
      </c>
      <c r="G217" s="41" t="s">
        <v>5</v>
      </c>
      <c r="H217" s="22">
        <f t="shared" ref="H217:H219" si="142">B217+I217</f>
        <v>416.66666666666669</v>
      </c>
      <c r="I217" s="8"/>
      <c r="J217" s="7"/>
    </row>
    <row r="218" spans="1:10" s="23" customFormat="1" ht="17.100000000000001" customHeight="1">
      <c r="A218" s="57" t="s">
        <v>229</v>
      </c>
      <c r="B218" s="115">
        <f t="shared" ref="B218:B219" si="143">C218/1.2</f>
        <v>433.33333333333337</v>
      </c>
      <c r="C218" s="56">
        <v>520</v>
      </c>
      <c r="D218" s="55"/>
      <c r="E218" s="105">
        <v>153.69999999999999</v>
      </c>
      <c r="F218" s="109">
        <f t="shared" ref="F218" si="144">E218*B218</f>
        <v>66603.333333333328</v>
      </c>
      <c r="G218" s="41" t="s">
        <v>5</v>
      </c>
      <c r="H218" s="22">
        <f t="shared" ref="H218" si="145">B218+I218</f>
        <v>433.33333333333337</v>
      </c>
      <c r="I218" s="8"/>
      <c r="J218" s="7"/>
    </row>
    <row r="219" spans="1:10" s="23" customFormat="1" ht="17.100000000000001" customHeight="1">
      <c r="A219" s="57" t="s">
        <v>226</v>
      </c>
      <c r="B219" s="115">
        <f t="shared" si="143"/>
        <v>433.33333333333337</v>
      </c>
      <c r="C219" s="56">
        <v>520</v>
      </c>
      <c r="D219" s="55"/>
      <c r="E219" s="105">
        <v>78</v>
      </c>
      <c r="F219" s="109">
        <f t="shared" ref="F219" si="146">E219*B219</f>
        <v>33800</v>
      </c>
      <c r="G219" s="41" t="s">
        <v>5</v>
      </c>
      <c r="H219" s="22">
        <f t="shared" si="142"/>
        <v>433.33333333333337</v>
      </c>
      <c r="I219" s="8"/>
      <c r="J219" s="7"/>
    </row>
    <row r="220" spans="1:10" s="23" customFormat="1" ht="17.100000000000001" hidden="1" customHeight="1">
      <c r="A220" s="57" t="s">
        <v>42</v>
      </c>
      <c r="B220" s="115" t="e">
        <f>F220/E220</f>
        <v>#DIV/0!</v>
      </c>
      <c r="C220" s="56" t="e">
        <f>B220*1.2</f>
        <v>#DIV/0!</v>
      </c>
      <c r="D220" s="55"/>
      <c r="E220" s="105"/>
      <c r="F220" s="109"/>
      <c r="G220" s="41" t="s">
        <v>5</v>
      </c>
      <c r="H220" s="22" t="e">
        <f t="shared" si="139"/>
        <v>#DIV/0!</v>
      </c>
      <c r="I220" s="8"/>
      <c r="J220" s="7"/>
    </row>
    <row r="221" spans="1:10" s="23" customFormat="1" ht="17.100000000000001" customHeight="1">
      <c r="A221" s="57" t="s">
        <v>203</v>
      </c>
      <c r="B221" s="115">
        <f t="shared" ref="B221:B223" si="147">C221/1.2</f>
        <v>433.33333333333337</v>
      </c>
      <c r="C221" s="56">
        <v>520</v>
      </c>
      <c r="D221" s="55"/>
      <c r="E221" s="105">
        <v>393</v>
      </c>
      <c r="F221" s="109">
        <f t="shared" ref="F221:F223" si="148">E221*B221</f>
        <v>170300.00000000003</v>
      </c>
      <c r="G221" s="41" t="s">
        <v>5</v>
      </c>
      <c r="H221" s="22">
        <f t="shared" si="139"/>
        <v>433.33333333333337</v>
      </c>
      <c r="I221" s="2"/>
      <c r="J221" s="3"/>
    </row>
    <row r="222" spans="1:10" s="23" customFormat="1" ht="17.100000000000001" customHeight="1">
      <c r="A222" s="57" t="s">
        <v>239</v>
      </c>
      <c r="B222" s="115">
        <f t="shared" si="147"/>
        <v>433.33333333333337</v>
      </c>
      <c r="C222" s="56">
        <v>520</v>
      </c>
      <c r="D222" s="55"/>
      <c r="E222" s="105">
        <v>75.099999999999994</v>
      </c>
      <c r="F222" s="109">
        <f t="shared" si="148"/>
        <v>32543.333333333332</v>
      </c>
      <c r="G222" s="41" t="s">
        <v>5</v>
      </c>
      <c r="H222" s="22">
        <f t="shared" si="139"/>
        <v>433.33333333333337</v>
      </c>
      <c r="I222" s="2"/>
      <c r="J222" s="3"/>
    </row>
    <row r="223" spans="1:10" s="23" customFormat="1" ht="17.100000000000001" customHeight="1">
      <c r="A223" s="57" t="s">
        <v>217</v>
      </c>
      <c r="B223" s="115">
        <f t="shared" si="147"/>
        <v>433.33333333333337</v>
      </c>
      <c r="C223" s="56">
        <v>520</v>
      </c>
      <c r="D223" s="55"/>
      <c r="E223" s="105">
        <v>41.4</v>
      </c>
      <c r="F223" s="109">
        <f t="shared" si="148"/>
        <v>17940</v>
      </c>
      <c r="G223" s="41" t="s">
        <v>5</v>
      </c>
      <c r="H223" s="22">
        <f t="shared" si="139"/>
        <v>433.33333333333337</v>
      </c>
      <c r="I223" s="2"/>
      <c r="J223" s="3"/>
    </row>
    <row r="224" spans="1:10" s="23" customFormat="1" ht="17.100000000000001" customHeight="1">
      <c r="A224" s="57" t="s">
        <v>15</v>
      </c>
      <c r="B224" s="115">
        <f t="shared" si="92"/>
        <v>425</v>
      </c>
      <c r="C224" s="56">
        <v>510</v>
      </c>
      <c r="D224" s="55"/>
      <c r="E224" s="105">
        <v>209.2</v>
      </c>
      <c r="F224" s="109">
        <f t="shared" si="110"/>
        <v>88910</v>
      </c>
      <c r="G224" s="41" t="s">
        <v>5</v>
      </c>
      <c r="H224" s="22">
        <f t="shared" ref="H224:H237" si="149">B224+I224</f>
        <v>425</v>
      </c>
      <c r="I224" s="8"/>
      <c r="J224" s="7"/>
    </row>
    <row r="225" spans="1:10" s="23" customFormat="1" ht="17.100000000000001" hidden="1" customHeight="1">
      <c r="A225" s="57" t="s">
        <v>132</v>
      </c>
      <c r="B225" s="115">
        <f t="shared" si="92"/>
        <v>0</v>
      </c>
      <c r="C225" s="56"/>
      <c r="D225" s="55"/>
      <c r="E225" s="105"/>
      <c r="F225" s="109">
        <f t="shared" si="110"/>
        <v>0</v>
      </c>
      <c r="G225" s="41" t="s">
        <v>5</v>
      </c>
      <c r="H225" s="22">
        <f t="shared" si="149"/>
        <v>0</v>
      </c>
      <c r="I225" s="8"/>
      <c r="J225" s="7"/>
    </row>
    <row r="226" spans="1:10" s="23" customFormat="1" ht="17.100000000000001" hidden="1" customHeight="1">
      <c r="A226" s="57" t="s">
        <v>120</v>
      </c>
      <c r="B226" s="115">
        <f t="shared" si="92"/>
        <v>400</v>
      </c>
      <c r="C226" s="56">
        <v>480</v>
      </c>
      <c r="D226" s="55"/>
      <c r="E226" s="105"/>
      <c r="F226" s="109">
        <f t="shared" si="110"/>
        <v>0</v>
      </c>
      <c r="G226" s="41" t="s">
        <v>5</v>
      </c>
      <c r="H226" s="22">
        <f t="shared" si="149"/>
        <v>400</v>
      </c>
      <c r="I226" s="8"/>
      <c r="J226" s="7"/>
    </row>
    <row r="227" spans="1:10" s="23" customFormat="1" ht="17.100000000000001" customHeight="1">
      <c r="A227" s="57" t="s">
        <v>230</v>
      </c>
      <c r="B227" s="115">
        <f t="shared" si="92"/>
        <v>425</v>
      </c>
      <c r="C227" s="56">
        <v>510</v>
      </c>
      <c r="D227" s="55"/>
      <c r="E227" s="105">
        <v>60.7</v>
      </c>
      <c r="F227" s="109">
        <f t="shared" ref="F227:F230" si="150">E227*B227</f>
        <v>25797.5</v>
      </c>
      <c r="G227" s="41" t="s">
        <v>5</v>
      </c>
      <c r="H227" s="22">
        <f t="shared" ref="H227:H230" si="151">B227+I227</f>
        <v>425</v>
      </c>
      <c r="I227" s="8"/>
      <c r="J227" s="7"/>
    </row>
    <row r="228" spans="1:10" s="23" customFormat="1" ht="17.100000000000001" customHeight="1">
      <c r="A228" s="57" t="s">
        <v>228</v>
      </c>
      <c r="B228" s="115">
        <f t="shared" si="92"/>
        <v>433.33333333333337</v>
      </c>
      <c r="C228" s="56">
        <v>520</v>
      </c>
      <c r="D228" s="55"/>
      <c r="E228" s="105">
        <v>45.8</v>
      </c>
      <c r="F228" s="109">
        <f t="shared" si="150"/>
        <v>19846.666666666668</v>
      </c>
      <c r="G228" s="41" t="s">
        <v>5</v>
      </c>
      <c r="H228" s="22">
        <f t="shared" si="151"/>
        <v>433.33333333333337</v>
      </c>
      <c r="I228" s="8"/>
      <c r="J228" s="7"/>
    </row>
    <row r="229" spans="1:10" s="23" customFormat="1" ht="17.100000000000001" customHeight="1">
      <c r="A229" s="57" t="s">
        <v>240</v>
      </c>
      <c r="B229" s="115">
        <f t="shared" si="92"/>
        <v>433.33333333333337</v>
      </c>
      <c r="C229" s="56">
        <v>520</v>
      </c>
      <c r="D229" s="55"/>
      <c r="E229" s="105">
        <v>213.83</v>
      </c>
      <c r="F229" s="109">
        <f t="shared" si="150"/>
        <v>92659.666666666686</v>
      </c>
      <c r="G229" s="41" t="s">
        <v>5</v>
      </c>
      <c r="H229" s="22">
        <f t="shared" si="151"/>
        <v>433.33333333333337</v>
      </c>
      <c r="I229" s="8"/>
      <c r="J229" s="7"/>
    </row>
    <row r="230" spans="1:10" s="23" customFormat="1" ht="17.100000000000001" customHeight="1">
      <c r="A230" s="57" t="s">
        <v>241</v>
      </c>
      <c r="B230" s="115">
        <f t="shared" si="92"/>
        <v>433.33333333333337</v>
      </c>
      <c r="C230" s="56">
        <v>520</v>
      </c>
      <c r="D230" s="55"/>
      <c r="E230" s="105">
        <v>52.7</v>
      </c>
      <c r="F230" s="109">
        <f t="shared" si="150"/>
        <v>22836.666666666672</v>
      </c>
      <c r="G230" s="41" t="s">
        <v>5</v>
      </c>
      <c r="H230" s="22">
        <f t="shared" si="151"/>
        <v>433.33333333333337</v>
      </c>
      <c r="I230" s="8"/>
      <c r="J230" s="7"/>
    </row>
    <row r="231" spans="1:10" s="23" customFormat="1" ht="17.100000000000001" customHeight="1">
      <c r="A231" s="57" t="s">
        <v>117</v>
      </c>
      <c r="B231" s="115">
        <f>F231/E231</f>
        <v>416.6667063020214</v>
      </c>
      <c r="C231" s="56">
        <f>B231*1.2</f>
        <v>500.00004756242566</v>
      </c>
      <c r="D231" s="55"/>
      <c r="E231" s="105">
        <v>84.1</v>
      </c>
      <c r="F231" s="109">
        <v>35041.67</v>
      </c>
      <c r="G231" s="41" t="s">
        <v>5</v>
      </c>
      <c r="H231" s="22">
        <f>B231+I231</f>
        <v>416.6667063020214</v>
      </c>
      <c r="I231" s="8"/>
      <c r="J231" s="7"/>
    </row>
    <row r="232" spans="1:10" s="23" customFormat="1" ht="17.100000000000001" customHeight="1">
      <c r="A232" s="57" t="s">
        <v>263</v>
      </c>
      <c r="B232" s="115">
        <f>F232/E232</f>
        <v>400.07000000000005</v>
      </c>
      <c r="C232" s="56">
        <f>B232*1.2</f>
        <v>480.08400000000006</v>
      </c>
      <c r="D232" s="55"/>
      <c r="E232" s="105">
        <v>381</v>
      </c>
      <c r="F232" s="109">
        <v>152426.67000000001</v>
      </c>
      <c r="G232" s="41" t="s">
        <v>5</v>
      </c>
      <c r="H232" s="22">
        <f>B232+I232</f>
        <v>400.07000000000005</v>
      </c>
      <c r="I232" s="8"/>
      <c r="J232" s="7"/>
    </row>
    <row r="233" spans="1:10" s="23" customFormat="1" ht="17.100000000000001" hidden="1" customHeight="1">
      <c r="A233" s="57" t="s">
        <v>184</v>
      </c>
      <c r="B233" s="115">
        <f t="shared" si="92"/>
        <v>433.33333333333337</v>
      </c>
      <c r="C233" s="56">
        <v>520</v>
      </c>
      <c r="D233" s="55"/>
      <c r="E233" s="105"/>
      <c r="F233" s="109">
        <f t="shared" si="110"/>
        <v>0</v>
      </c>
      <c r="G233" s="41" t="s">
        <v>5</v>
      </c>
      <c r="H233" s="22">
        <f>B233+I233</f>
        <v>433.33333333333337</v>
      </c>
      <c r="I233" s="8"/>
      <c r="J233" s="7"/>
    </row>
    <row r="234" spans="1:10" s="23" customFormat="1" ht="17.100000000000001" hidden="1" customHeight="1">
      <c r="A234" s="57" t="s">
        <v>137</v>
      </c>
      <c r="B234" s="115">
        <f t="shared" ref="B234" si="152">C234/1.2</f>
        <v>430</v>
      </c>
      <c r="C234" s="56">
        <v>516</v>
      </c>
      <c r="D234" s="55"/>
      <c r="E234" s="105"/>
      <c r="F234" s="109">
        <f t="shared" si="110"/>
        <v>0</v>
      </c>
      <c r="G234" s="41" t="s">
        <v>5</v>
      </c>
      <c r="H234" s="22">
        <f t="shared" ref="H234" si="153">B234+I234</f>
        <v>791.66666666666674</v>
      </c>
      <c r="I234" s="8">
        <f>434/1.2</f>
        <v>361.66666666666669</v>
      </c>
      <c r="J234" s="7"/>
    </row>
    <row r="235" spans="1:10" s="23" customFormat="1" ht="17.100000000000001" hidden="1" customHeight="1">
      <c r="A235" s="57" t="s">
        <v>125</v>
      </c>
      <c r="B235" s="115">
        <f t="shared" si="92"/>
        <v>433.33333333333337</v>
      </c>
      <c r="C235" s="56">
        <v>520</v>
      </c>
      <c r="D235" s="55"/>
      <c r="E235" s="105"/>
      <c r="F235" s="109">
        <f t="shared" si="110"/>
        <v>0</v>
      </c>
      <c r="G235" s="41" t="s">
        <v>5</v>
      </c>
      <c r="H235" s="22">
        <f t="shared" si="149"/>
        <v>433.33333333333337</v>
      </c>
      <c r="I235" s="8"/>
      <c r="J235" s="7"/>
    </row>
    <row r="236" spans="1:10" s="23" customFormat="1" ht="17.100000000000001" hidden="1" customHeight="1">
      <c r="A236" s="57" t="s">
        <v>133</v>
      </c>
      <c r="B236" s="115">
        <f t="shared" si="92"/>
        <v>425</v>
      </c>
      <c r="C236" s="56">
        <v>510</v>
      </c>
      <c r="D236" s="55"/>
      <c r="E236" s="105"/>
      <c r="F236" s="109">
        <f t="shared" si="110"/>
        <v>0</v>
      </c>
      <c r="G236" s="41" t="s">
        <v>5</v>
      </c>
      <c r="H236" s="22">
        <f t="shared" si="149"/>
        <v>425</v>
      </c>
      <c r="I236" s="8"/>
      <c r="J236" s="7"/>
    </row>
    <row r="237" spans="1:10" s="23" customFormat="1" ht="17.100000000000001" hidden="1" customHeight="1">
      <c r="A237" s="57" t="s">
        <v>36</v>
      </c>
      <c r="B237" s="115">
        <f t="shared" si="92"/>
        <v>0</v>
      </c>
      <c r="C237" s="56"/>
      <c r="D237" s="55"/>
      <c r="E237" s="105"/>
      <c r="F237" s="109">
        <f t="shared" si="110"/>
        <v>0</v>
      </c>
      <c r="G237" s="41" t="s">
        <v>5</v>
      </c>
      <c r="H237" s="22">
        <f t="shared" si="149"/>
        <v>0</v>
      </c>
      <c r="I237" s="8"/>
      <c r="J237" s="7"/>
    </row>
    <row r="238" spans="1:10" s="23" customFormat="1" ht="17.100000000000001" hidden="1" customHeight="1">
      <c r="A238" s="57" t="s">
        <v>44</v>
      </c>
      <c r="B238" s="115">
        <f t="shared" ref="B238:B239" si="154">C238/1.2</f>
        <v>425</v>
      </c>
      <c r="C238" s="56">
        <v>510</v>
      </c>
      <c r="D238" s="55"/>
      <c r="E238" s="105"/>
      <c r="F238" s="109">
        <f t="shared" si="110"/>
        <v>0</v>
      </c>
      <c r="G238" s="41" t="s">
        <v>5</v>
      </c>
      <c r="H238" s="22">
        <f>B238+I238</f>
        <v>425</v>
      </c>
      <c r="I238" s="8"/>
      <c r="J238" s="7"/>
    </row>
    <row r="239" spans="1:10" s="23" customFormat="1" ht="17.100000000000001" customHeight="1">
      <c r="A239" s="57" t="s">
        <v>165</v>
      </c>
      <c r="B239" s="115">
        <f t="shared" si="154"/>
        <v>433.33333333333337</v>
      </c>
      <c r="C239" s="56">
        <v>520</v>
      </c>
      <c r="D239" s="55"/>
      <c r="E239" s="105">
        <v>34.5</v>
      </c>
      <c r="F239" s="109">
        <f t="shared" si="110"/>
        <v>14950.000000000002</v>
      </c>
      <c r="G239" s="41" t="s">
        <v>5</v>
      </c>
      <c r="H239" s="22">
        <f>B239+I239</f>
        <v>433.33333333333337</v>
      </c>
      <c r="I239" s="8"/>
      <c r="J239" s="7"/>
    </row>
    <row r="240" spans="1:10" s="23" customFormat="1" ht="17.100000000000001" customHeight="1">
      <c r="A240" s="57" t="s">
        <v>18</v>
      </c>
      <c r="B240" s="115">
        <f t="shared" si="92"/>
        <v>433.33333333333337</v>
      </c>
      <c r="C240" s="56">
        <v>520</v>
      </c>
      <c r="D240" s="55"/>
      <c r="E240" s="105">
        <v>1758.8</v>
      </c>
      <c r="F240" s="109">
        <f t="shared" si="110"/>
        <v>762146.66666666674</v>
      </c>
      <c r="G240" s="41" t="s">
        <v>5</v>
      </c>
      <c r="H240" s="22">
        <f t="shared" ref="H240:H248" si="155">B240+I240</f>
        <v>433.33333333333337</v>
      </c>
      <c r="I240" s="8"/>
      <c r="J240" s="7"/>
    </row>
    <row r="241" spans="1:10" s="23" customFormat="1" ht="17.100000000000001" customHeight="1">
      <c r="A241" s="57" t="s">
        <v>245</v>
      </c>
      <c r="B241" s="115">
        <f t="shared" si="92"/>
        <v>433.33333333333337</v>
      </c>
      <c r="C241" s="56">
        <v>520</v>
      </c>
      <c r="D241" s="55"/>
      <c r="E241" s="105">
        <v>58.7</v>
      </c>
      <c r="F241" s="109">
        <f t="shared" si="110"/>
        <v>25436.666666666672</v>
      </c>
      <c r="G241" s="41" t="s">
        <v>5</v>
      </c>
      <c r="H241" s="22">
        <f t="shared" si="155"/>
        <v>433.33333333333337</v>
      </c>
      <c r="I241" s="8"/>
      <c r="J241" s="7"/>
    </row>
    <row r="242" spans="1:10" s="23" customFormat="1" ht="17.100000000000001" customHeight="1">
      <c r="A242" s="57" t="s">
        <v>122</v>
      </c>
      <c r="B242" s="115">
        <f t="shared" si="92"/>
        <v>433.33333333333337</v>
      </c>
      <c r="C242" s="56">
        <v>520</v>
      </c>
      <c r="D242" s="55"/>
      <c r="E242" s="105">
        <v>100.1</v>
      </c>
      <c r="F242" s="109">
        <f t="shared" si="110"/>
        <v>43376.666666666672</v>
      </c>
      <c r="G242" s="41" t="s">
        <v>5</v>
      </c>
      <c r="H242" s="22">
        <f t="shared" ref="H242:H243" si="156">B242+I242</f>
        <v>433.33333333333337</v>
      </c>
      <c r="I242" s="8"/>
      <c r="J242" s="7"/>
    </row>
    <row r="243" spans="1:10" s="23" customFormat="1" ht="17.100000000000001" customHeight="1">
      <c r="A243" s="57" t="s">
        <v>220</v>
      </c>
      <c r="B243" s="115">
        <f t="shared" si="92"/>
        <v>433.33333333333337</v>
      </c>
      <c r="C243" s="56">
        <v>520</v>
      </c>
      <c r="D243" s="55"/>
      <c r="E243" s="105">
        <v>53.1</v>
      </c>
      <c r="F243" s="109">
        <f t="shared" si="110"/>
        <v>23010.000000000004</v>
      </c>
      <c r="G243" s="41" t="s">
        <v>5</v>
      </c>
      <c r="H243" s="22">
        <f t="shared" si="156"/>
        <v>433.33333333333337</v>
      </c>
      <c r="I243" s="8"/>
      <c r="J243" s="7"/>
    </row>
    <row r="244" spans="1:10" s="23" customFormat="1" ht="17.100000000000001" customHeight="1">
      <c r="A244" s="57" t="s">
        <v>45</v>
      </c>
      <c r="B244" s="115">
        <f t="shared" si="92"/>
        <v>416.66666666666669</v>
      </c>
      <c r="C244" s="56">
        <v>500</v>
      </c>
      <c r="D244" s="55"/>
      <c r="E244" s="105">
        <v>12.2</v>
      </c>
      <c r="F244" s="109">
        <f t="shared" si="110"/>
        <v>5083.333333333333</v>
      </c>
      <c r="G244" s="41" t="s">
        <v>5</v>
      </c>
      <c r="H244" s="22">
        <f t="shared" si="155"/>
        <v>416.66666666666669</v>
      </c>
      <c r="I244" s="8"/>
      <c r="J244" s="7"/>
    </row>
    <row r="245" spans="1:10" s="23" customFormat="1" ht="17.100000000000001" hidden="1" customHeight="1">
      <c r="A245" s="57" t="s">
        <v>143</v>
      </c>
      <c r="B245" s="115">
        <f t="shared" ref="B245" si="157">C245/1.2</f>
        <v>416.66666666666669</v>
      </c>
      <c r="C245" s="56">
        <v>500</v>
      </c>
      <c r="D245" s="55"/>
      <c r="E245" s="105"/>
      <c r="F245" s="109">
        <f t="shared" si="110"/>
        <v>0</v>
      </c>
      <c r="G245" s="41" t="s">
        <v>5</v>
      </c>
      <c r="H245" s="22">
        <f t="shared" ref="H245" si="158">B245+I245</f>
        <v>416.66666666666669</v>
      </c>
      <c r="I245" s="8"/>
      <c r="J245" s="7"/>
    </row>
    <row r="246" spans="1:10" s="23" customFormat="1" ht="17.100000000000001" customHeight="1">
      <c r="A246" s="57" t="s">
        <v>85</v>
      </c>
      <c r="B246" s="115">
        <f t="shared" ref="B246:B248" si="159">C246/1.2</f>
        <v>433.33333333333337</v>
      </c>
      <c r="C246" s="56">
        <v>520</v>
      </c>
      <c r="D246" s="55"/>
      <c r="E246" s="105">
        <v>110.5</v>
      </c>
      <c r="F246" s="109">
        <f t="shared" si="110"/>
        <v>47883.333333333336</v>
      </c>
      <c r="G246" s="41" t="s">
        <v>5</v>
      </c>
      <c r="H246" s="22">
        <f t="shared" si="155"/>
        <v>433.33333333333337</v>
      </c>
      <c r="I246" s="8"/>
      <c r="J246" s="7"/>
    </row>
    <row r="247" spans="1:10" s="23" customFormat="1" ht="17.100000000000001" customHeight="1">
      <c r="A247" s="57" t="s">
        <v>160</v>
      </c>
      <c r="B247" s="115">
        <f t="shared" si="159"/>
        <v>433.33333333333337</v>
      </c>
      <c r="C247" s="56">
        <v>520</v>
      </c>
      <c r="D247" s="55"/>
      <c r="E247" s="105">
        <v>30</v>
      </c>
      <c r="F247" s="109">
        <f t="shared" si="110"/>
        <v>13000.000000000002</v>
      </c>
      <c r="G247" s="41" t="s">
        <v>5</v>
      </c>
      <c r="H247" s="22">
        <f t="shared" si="155"/>
        <v>433.33333333333337</v>
      </c>
      <c r="I247" s="8"/>
      <c r="J247" s="7"/>
    </row>
    <row r="248" spans="1:10" s="23" customFormat="1" ht="17.100000000000001" customHeight="1">
      <c r="A248" s="57" t="s">
        <v>205</v>
      </c>
      <c r="B248" s="115">
        <f t="shared" si="159"/>
        <v>425</v>
      </c>
      <c r="C248" s="56">
        <v>510</v>
      </c>
      <c r="D248" s="55"/>
      <c r="E248" s="105">
        <v>250</v>
      </c>
      <c r="F248" s="109">
        <f t="shared" si="110"/>
        <v>106250</v>
      </c>
      <c r="G248" s="41" t="s">
        <v>5</v>
      </c>
      <c r="H248" s="22">
        <f t="shared" si="155"/>
        <v>425</v>
      </c>
      <c r="I248" s="8"/>
      <c r="J248" s="7"/>
    </row>
    <row r="249" spans="1:10" s="23" customFormat="1" ht="16.5" customHeight="1">
      <c r="A249" s="57" t="s">
        <v>53</v>
      </c>
      <c r="B249" s="115">
        <f>F249/E249</f>
        <v>432.99221677716918</v>
      </c>
      <c r="C249" s="56">
        <f>B249*1.2</f>
        <v>519.59066013260303</v>
      </c>
      <c r="D249" s="55"/>
      <c r="E249" s="105">
        <v>1040.7</v>
      </c>
      <c r="F249" s="109">
        <v>450615</v>
      </c>
      <c r="G249" s="41" t="s">
        <v>5</v>
      </c>
      <c r="H249" s="22">
        <f>B249+I249</f>
        <v>432.99221677716918</v>
      </c>
      <c r="I249" s="8"/>
      <c r="J249" s="7"/>
    </row>
    <row r="250" spans="1:10" s="23" customFormat="1" ht="16.5" customHeight="1">
      <c r="A250" s="57" t="s">
        <v>270</v>
      </c>
      <c r="B250" s="115">
        <f t="shared" ref="B250" si="160">C250/1.2</f>
        <v>433.33333333333337</v>
      </c>
      <c r="C250" s="56">
        <v>520</v>
      </c>
      <c r="D250" s="55"/>
      <c r="E250" s="105">
        <v>26</v>
      </c>
      <c r="F250" s="109">
        <f t="shared" ref="F250:F251" si="161">E250*B250</f>
        <v>11266.666666666668</v>
      </c>
      <c r="G250" s="41" t="s">
        <v>5</v>
      </c>
      <c r="H250" s="22">
        <f t="shared" ref="H250" si="162">B250+I250</f>
        <v>433.33333333333337</v>
      </c>
      <c r="I250" s="8"/>
      <c r="J250" s="7"/>
    </row>
    <row r="251" spans="1:10" s="23" customFormat="1" ht="16.5" customHeight="1">
      <c r="A251" s="57" t="s">
        <v>82</v>
      </c>
      <c r="B251" s="126">
        <f>C251</f>
        <v>493.76</v>
      </c>
      <c r="C251" s="232">
        <v>493.76</v>
      </c>
      <c r="D251" s="12"/>
      <c r="E251" s="127">
        <v>11046.9</v>
      </c>
      <c r="F251" s="109">
        <f t="shared" si="161"/>
        <v>5454517.3439999996</v>
      </c>
      <c r="G251" s="128" t="s">
        <v>5</v>
      </c>
      <c r="H251" s="87">
        <f>C251+I251+J251</f>
        <v>1070.76</v>
      </c>
      <c r="I251" s="87">
        <v>577</v>
      </c>
      <c r="J251" s="7"/>
    </row>
    <row r="252" spans="1:10" s="23" customFormat="1" ht="17.100000000000001" customHeight="1">
      <c r="A252" s="57" t="s">
        <v>65</v>
      </c>
      <c r="B252" s="115">
        <f>F252/E252</f>
        <v>433.33333964407421</v>
      </c>
      <c r="C252" s="56">
        <f>B252*1.2</f>
        <v>520.00000757288899</v>
      </c>
      <c r="D252" s="12"/>
      <c r="E252" s="127">
        <v>528.20000000000005</v>
      </c>
      <c r="F252" s="109">
        <v>228886.67</v>
      </c>
      <c r="G252" s="41" t="s">
        <v>5</v>
      </c>
      <c r="H252" s="22">
        <f t="shared" ref="H252" si="163">B252+I252</f>
        <v>433.33333964407421</v>
      </c>
      <c r="I252" s="143"/>
      <c r="J252" s="7"/>
    </row>
    <row r="253" spans="1:10" s="23" customFormat="1" ht="16.5" customHeight="1">
      <c r="A253" s="57" t="s">
        <v>108</v>
      </c>
      <c r="B253" s="115">
        <f>F253/E253</f>
        <v>419.29758620689654</v>
      </c>
      <c r="C253" s="56">
        <f>B253*1.2</f>
        <v>503.15710344827585</v>
      </c>
      <c r="D253" s="55"/>
      <c r="E253" s="105">
        <v>261</v>
      </c>
      <c r="F253" s="109">
        <v>109436.67</v>
      </c>
      <c r="G253" s="41" t="s">
        <v>5</v>
      </c>
      <c r="H253" s="22">
        <f t="shared" ref="H253:H255" si="164">B253+I253</f>
        <v>419.29758620689654</v>
      </c>
      <c r="I253" s="143"/>
      <c r="J253" s="7"/>
    </row>
    <row r="254" spans="1:10" s="23" customFormat="1" ht="17.100000000000001" customHeight="1">
      <c r="A254" s="57" t="s">
        <v>252</v>
      </c>
      <c r="B254" s="115">
        <f t="shared" ref="B254:B256" si="165">C254/1.2</f>
        <v>433.33333333333337</v>
      </c>
      <c r="C254" s="66">
        <v>520</v>
      </c>
      <c r="D254" s="67"/>
      <c r="E254" s="118">
        <v>11</v>
      </c>
      <c r="F254" s="109">
        <f t="shared" si="110"/>
        <v>4766.666666666667</v>
      </c>
      <c r="G254" s="71" t="s">
        <v>5</v>
      </c>
      <c r="H254" s="72">
        <f t="shared" si="164"/>
        <v>433.33333333333337</v>
      </c>
      <c r="I254" s="143"/>
      <c r="J254" s="7"/>
    </row>
    <row r="255" spans="1:10" s="23" customFormat="1" ht="17.100000000000001" customHeight="1">
      <c r="A255" s="57" t="s">
        <v>100</v>
      </c>
      <c r="B255" s="115">
        <f t="shared" si="165"/>
        <v>416.66666666666669</v>
      </c>
      <c r="C255" s="56">
        <v>500</v>
      </c>
      <c r="D255" s="55"/>
      <c r="E255" s="105">
        <v>68.5</v>
      </c>
      <c r="F255" s="109">
        <f t="shared" ref="F255" si="166">E255*B255</f>
        <v>28541.666666666668</v>
      </c>
      <c r="G255" s="41" t="s">
        <v>5</v>
      </c>
      <c r="H255" s="22">
        <f t="shared" si="164"/>
        <v>416.66666666666669</v>
      </c>
      <c r="I255" s="143"/>
      <c r="J255" s="7"/>
    </row>
    <row r="256" spans="1:10" s="23" customFormat="1" ht="17.100000000000001" hidden="1" customHeight="1">
      <c r="A256" s="57" t="s">
        <v>33</v>
      </c>
      <c r="B256" s="115">
        <f t="shared" si="165"/>
        <v>0</v>
      </c>
      <c r="C256" s="56"/>
      <c r="D256" s="55"/>
      <c r="E256" s="105"/>
      <c r="F256" s="109">
        <f t="shared" si="110"/>
        <v>0</v>
      </c>
      <c r="G256" s="41" t="s">
        <v>5</v>
      </c>
      <c r="H256" s="22">
        <f>B256+I256</f>
        <v>0</v>
      </c>
      <c r="I256" s="9"/>
      <c r="J256" s="7"/>
    </row>
    <row r="257" spans="1:10" s="23" customFormat="1" ht="17.100000000000001" customHeight="1">
      <c r="A257" s="57" t="s">
        <v>21</v>
      </c>
      <c r="B257" s="115">
        <f t="shared" ref="B257:B265" si="167">C257/1.2</f>
        <v>383.33333333333337</v>
      </c>
      <c r="C257" s="66">
        <v>460</v>
      </c>
      <c r="D257" s="67"/>
      <c r="E257" s="118">
        <v>602.1</v>
      </c>
      <c r="F257" s="109">
        <f t="shared" si="110"/>
        <v>230805.00000000003</v>
      </c>
      <c r="G257" s="71" t="s">
        <v>5</v>
      </c>
      <c r="H257" s="72">
        <f t="shared" ref="H257" si="168">B257+I257</f>
        <v>383.33333333333337</v>
      </c>
      <c r="I257" s="9"/>
      <c r="J257" s="7"/>
    </row>
    <row r="258" spans="1:10" s="23" customFormat="1" ht="17.100000000000001" customHeight="1">
      <c r="A258" s="57" t="s">
        <v>183</v>
      </c>
      <c r="B258" s="115">
        <f t="shared" si="167"/>
        <v>433.33333333333337</v>
      </c>
      <c r="C258" s="56">
        <v>520</v>
      </c>
      <c r="D258" s="55"/>
      <c r="E258" s="105">
        <v>76</v>
      </c>
      <c r="F258" s="109">
        <f t="shared" si="110"/>
        <v>32933.333333333336</v>
      </c>
      <c r="G258" s="41" t="s">
        <v>5</v>
      </c>
      <c r="H258" s="22">
        <f t="shared" ref="H258" si="169">B258+I258</f>
        <v>433.33333333333337</v>
      </c>
      <c r="I258" s="8"/>
      <c r="J258" s="7"/>
    </row>
    <row r="259" spans="1:10" s="23" customFormat="1" ht="17.100000000000001" hidden="1" customHeight="1">
      <c r="A259" s="57" t="s">
        <v>141</v>
      </c>
      <c r="B259" s="115">
        <f t="shared" ref="B259" si="170">C259/1.2</f>
        <v>433.33333333333337</v>
      </c>
      <c r="C259" s="56">
        <v>520</v>
      </c>
      <c r="D259" s="55"/>
      <c r="E259" s="105"/>
      <c r="F259" s="109">
        <f t="shared" si="110"/>
        <v>0</v>
      </c>
      <c r="G259" s="41" t="s">
        <v>5</v>
      </c>
      <c r="H259" s="22">
        <f t="shared" ref="H259" si="171">B259+I259</f>
        <v>433.33333333333337</v>
      </c>
      <c r="I259" s="8"/>
      <c r="J259" s="7"/>
    </row>
    <row r="260" spans="1:10" s="23" customFormat="1" ht="17.100000000000001" customHeight="1">
      <c r="A260" s="57" t="s">
        <v>72</v>
      </c>
      <c r="B260" s="115">
        <f t="shared" si="167"/>
        <v>400</v>
      </c>
      <c r="C260" s="56">
        <v>480</v>
      </c>
      <c r="D260" s="55"/>
      <c r="E260" s="105">
        <v>446.9</v>
      </c>
      <c r="F260" s="109">
        <f t="shared" si="110"/>
        <v>178760</v>
      </c>
      <c r="G260" s="41" t="s">
        <v>5</v>
      </c>
      <c r="H260" s="22">
        <f>B260+I260</f>
        <v>400</v>
      </c>
      <c r="I260" s="8"/>
      <c r="J260" s="7"/>
    </row>
    <row r="261" spans="1:10" s="23" customFormat="1" ht="17.100000000000001" hidden="1" customHeight="1">
      <c r="A261" s="57" t="s">
        <v>60</v>
      </c>
      <c r="B261" s="115">
        <f t="shared" si="167"/>
        <v>0</v>
      </c>
      <c r="C261" s="56"/>
      <c r="D261" s="55"/>
      <c r="E261" s="105"/>
      <c r="F261" s="109">
        <f t="shared" si="110"/>
        <v>0</v>
      </c>
      <c r="G261" s="41" t="s">
        <v>5</v>
      </c>
      <c r="H261" s="22">
        <f t="shared" ref="H261:H263" si="172">B261+I261</f>
        <v>0</v>
      </c>
      <c r="I261" s="8"/>
      <c r="J261" s="7"/>
    </row>
    <row r="262" spans="1:10" s="23" customFormat="1" ht="17.100000000000001" customHeight="1">
      <c r="A262" s="57" t="s">
        <v>145</v>
      </c>
      <c r="B262" s="115">
        <f t="shared" si="167"/>
        <v>426.66666666666669</v>
      </c>
      <c r="C262" s="56">
        <v>512</v>
      </c>
      <c r="D262" s="55"/>
      <c r="E262" s="105">
        <v>3616.9</v>
      </c>
      <c r="F262" s="109">
        <f t="shared" si="110"/>
        <v>1543210.6666666667</v>
      </c>
      <c r="G262" s="41" t="s">
        <v>5</v>
      </c>
      <c r="H262" s="22">
        <f t="shared" si="172"/>
        <v>741.66666666666674</v>
      </c>
      <c r="I262" s="8">
        <f>378/1.2</f>
        <v>315</v>
      </c>
      <c r="J262" s="7"/>
    </row>
    <row r="263" spans="1:10" s="23" customFormat="1" ht="17.100000000000001" customHeight="1">
      <c r="A263" s="57" t="s">
        <v>206</v>
      </c>
      <c r="B263" s="115">
        <f>F263/E263</f>
        <v>433.39777562862668</v>
      </c>
      <c r="C263" s="56">
        <f>B263*1.2</f>
        <v>520.07733075435203</v>
      </c>
      <c r="D263" s="55"/>
      <c r="E263" s="105">
        <v>103.4</v>
      </c>
      <c r="F263" s="109">
        <v>44813.33</v>
      </c>
      <c r="G263" s="41" t="s">
        <v>5</v>
      </c>
      <c r="H263" s="22">
        <f t="shared" si="172"/>
        <v>433.39777562862668</v>
      </c>
      <c r="I263" s="8"/>
      <c r="J263" s="7"/>
    </row>
    <row r="264" spans="1:10" s="23" customFormat="1" ht="17.100000000000001" hidden="1" customHeight="1">
      <c r="A264" s="57" t="s">
        <v>180</v>
      </c>
      <c r="B264" s="115">
        <f t="shared" si="167"/>
        <v>416.66666666666669</v>
      </c>
      <c r="C264" s="56">
        <v>500</v>
      </c>
      <c r="D264" s="55"/>
      <c r="E264" s="105"/>
      <c r="F264" s="109">
        <f t="shared" si="110"/>
        <v>0</v>
      </c>
      <c r="G264" s="41" t="s">
        <v>5</v>
      </c>
      <c r="H264" s="22">
        <f t="shared" ref="H264:H278" si="173">B264+I264</f>
        <v>416.66666666666669</v>
      </c>
      <c r="I264" s="8"/>
      <c r="J264" s="7"/>
    </row>
    <row r="265" spans="1:10" s="23" customFormat="1" ht="17.100000000000001" hidden="1" customHeight="1">
      <c r="A265" s="57" t="s">
        <v>159</v>
      </c>
      <c r="B265" s="115">
        <f t="shared" si="167"/>
        <v>433.33333333333337</v>
      </c>
      <c r="C265" s="56">
        <v>520</v>
      </c>
      <c r="D265" s="55"/>
      <c r="E265" s="105"/>
      <c r="F265" s="109">
        <f t="shared" ref="F265:F272" si="174">E265*B265</f>
        <v>0</v>
      </c>
      <c r="G265" s="41" t="s">
        <v>5</v>
      </c>
      <c r="H265" s="22">
        <f t="shared" si="173"/>
        <v>433.33333333333337</v>
      </c>
      <c r="I265" s="8"/>
      <c r="J265" s="7"/>
    </row>
    <row r="266" spans="1:10" s="23" customFormat="1" ht="17.100000000000001" hidden="1" customHeight="1">
      <c r="A266" s="57" t="s">
        <v>198</v>
      </c>
      <c r="B266" s="115">
        <f t="shared" si="92"/>
        <v>433.33333333333337</v>
      </c>
      <c r="C266" s="56">
        <v>520</v>
      </c>
      <c r="D266" s="55"/>
      <c r="E266" s="105"/>
      <c r="F266" s="109">
        <f t="shared" si="174"/>
        <v>0</v>
      </c>
      <c r="G266" s="41" t="s">
        <v>5</v>
      </c>
      <c r="H266" s="22">
        <f t="shared" si="173"/>
        <v>433.33333333333337</v>
      </c>
      <c r="I266" s="8"/>
      <c r="J266" s="7"/>
    </row>
    <row r="267" spans="1:10" s="23" customFormat="1" ht="17.100000000000001" hidden="1" customHeight="1">
      <c r="A267" s="57" t="s">
        <v>189</v>
      </c>
      <c r="B267" s="115">
        <f t="shared" ref="B267" si="175">C267/1.2</f>
        <v>433.33333333333337</v>
      </c>
      <c r="C267" s="56">
        <v>520</v>
      </c>
      <c r="D267" s="55"/>
      <c r="E267" s="105"/>
      <c r="F267" s="109">
        <f t="shared" ref="F267" si="176">E267*B267</f>
        <v>0</v>
      </c>
      <c r="G267" s="41" t="s">
        <v>5</v>
      </c>
      <c r="H267" s="22">
        <f t="shared" ref="H267" si="177">B267+I267</f>
        <v>433.33333333333337</v>
      </c>
      <c r="I267" s="8"/>
      <c r="J267" s="7"/>
    </row>
    <row r="268" spans="1:10" s="23" customFormat="1" ht="17.100000000000001" hidden="1" customHeight="1">
      <c r="A268" s="57" t="s">
        <v>124</v>
      </c>
      <c r="B268" s="115">
        <f t="shared" si="92"/>
        <v>375</v>
      </c>
      <c r="C268" s="56">
        <v>450</v>
      </c>
      <c r="D268" s="55"/>
      <c r="E268" s="105"/>
      <c r="F268" s="109">
        <f t="shared" si="174"/>
        <v>0</v>
      </c>
      <c r="G268" s="41" t="s">
        <v>5</v>
      </c>
      <c r="H268" s="22">
        <f t="shared" si="173"/>
        <v>375</v>
      </c>
      <c r="I268" s="8"/>
      <c r="J268" s="7"/>
    </row>
    <row r="269" spans="1:10" s="23" customFormat="1" ht="17.100000000000001" hidden="1" customHeight="1">
      <c r="A269" s="57" t="s">
        <v>114</v>
      </c>
      <c r="B269" s="115">
        <f t="shared" si="92"/>
        <v>0</v>
      </c>
      <c r="C269" s="56"/>
      <c r="D269" s="55"/>
      <c r="E269" s="105"/>
      <c r="F269" s="109">
        <f t="shared" si="174"/>
        <v>0</v>
      </c>
      <c r="G269" s="41" t="s">
        <v>5</v>
      </c>
      <c r="H269" s="22">
        <f t="shared" si="173"/>
        <v>0</v>
      </c>
      <c r="I269" s="8"/>
      <c r="J269" s="7"/>
    </row>
    <row r="270" spans="1:10" s="23" customFormat="1" ht="17.100000000000001" customHeight="1">
      <c r="A270" s="57" t="s">
        <v>271</v>
      </c>
      <c r="B270" s="115">
        <f t="shared" si="92"/>
        <v>433.33333333333337</v>
      </c>
      <c r="C270" s="56">
        <v>520</v>
      </c>
      <c r="D270" s="55"/>
      <c r="E270" s="105">
        <v>41</v>
      </c>
      <c r="F270" s="109">
        <f t="shared" si="174"/>
        <v>17766.666666666668</v>
      </c>
      <c r="G270" s="41" t="s">
        <v>5</v>
      </c>
      <c r="H270" s="22">
        <f t="shared" si="173"/>
        <v>433.33333333333337</v>
      </c>
      <c r="I270" s="8"/>
      <c r="J270" s="7"/>
    </row>
    <row r="271" spans="1:10" s="23" customFormat="1" ht="17.100000000000001" customHeight="1">
      <c r="A271" s="63" t="s">
        <v>139</v>
      </c>
      <c r="B271" s="115">
        <f t="shared" ref="B271" si="178">C271/1.2</f>
        <v>416.66666666666669</v>
      </c>
      <c r="C271" s="56">
        <v>500</v>
      </c>
      <c r="D271" s="55"/>
      <c r="E271" s="105">
        <v>235.4</v>
      </c>
      <c r="F271" s="109">
        <f t="shared" si="174"/>
        <v>98083.333333333343</v>
      </c>
      <c r="G271" s="41" t="s">
        <v>5</v>
      </c>
      <c r="H271" s="22">
        <f t="shared" ref="H271" si="179">B271+I271</f>
        <v>416.66666666666669</v>
      </c>
      <c r="I271" s="59"/>
      <c r="J271" s="64"/>
    </row>
    <row r="272" spans="1:10" s="23" customFormat="1" ht="17.100000000000001" customHeight="1">
      <c r="A272" s="63" t="s">
        <v>136</v>
      </c>
      <c r="B272" s="115">
        <f t="shared" ref="B272" si="180">C272/1.2</f>
        <v>433.33333333333337</v>
      </c>
      <c r="C272" s="56">
        <v>520</v>
      </c>
      <c r="D272" s="55"/>
      <c r="E272" s="105">
        <v>328.4</v>
      </c>
      <c r="F272" s="109">
        <f t="shared" si="174"/>
        <v>142306.66666666666</v>
      </c>
      <c r="G272" s="41" t="s">
        <v>5</v>
      </c>
      <c r="H272" s="22">
        <f t="shared" ref="H272" si="181">B272+I272</f>
        <v>433.33333333333337</v>
      </c>
      <c r="I272" s="59"/>
      <c r="J272" s="64"/>
    </row>
    <row r="273" spans="1:10" s="23" customFormat="1" ht="17.100000000000001" hidden="1" customHeight="1">
      <c r="A273" s="63" t="s">
        <v>74</v>
      </c>
      <c r="B273" s="115">
        <f t="shared" si="92"/>
        <v>400</v>
      </c>
      <c r="C273" s="56">
        <v>480</v>
      </c>
      <c r="D273" s="59"/>
      <c r="E273" s="117"/>
      <c r="F273" s="109">
        <f t="shared" ref="F273:F278" si="182">E273*B273</f>
        <v>0</v>
      </c>
      <c r="G273" s="41" t="s">
        <v>5</v>
      </c>
      <c r="H273" s="22">
        <f t="shared" si="173"/>
        <v>400</v>
      </c>
      <c r="I273" s="59"/>
      <c r="J273" s="64"/>
    </row>
    <row r="274" spans="1:10" s="23" customFormat="1" ht="16.5" customHeight="1">
      <c r="A274" s="63" t="s">
        <v>48</v>
      </c>
      <c r="B274" s="115">
        <f>F274/E274</f>
        <v>452.29648279174694</v>
      </c>
      <c r="C274" s="56">
        <f>B274*1.2</f>
        <v>542.7557793500963</v>
      </c>
      <c r="D274" s="55"/>
      <c r="E274" s="105">
        <v>1852.89</v>
      </c>
      <c r="F274" s="109">
        <v>838055.63</v>
      </c>
      <c r="G274" s="41" t="s">
        <v>5</v>
      </c>
      <c r="H274" s="22">
        <f>B274+I274</f>
        <v>452.29648279174694</v>
      </c>
      <c r="I274" s="59"/>
      <c r="J274" s="64"/>
    </row>
    <row r="275" spans="1:10" s="23" customFormat="1" ht="16.5" hidden="1" customHeight="1">
      <c r="A275" s="63" t="s">
        <v>178</v>
      </c>
      <c r="B275" s="115">
        <f t="shared" si="92"/>
        <v>416.66666666666669</v>
      </c>
      <c r="C275" s="56">
        <v>500</v>
      </c>
      <c r="D275" s="55"/>
      <c r="E275" s="105"/>
      <c r="F275" s="109">
        <f t="shared" si="182"/>
        <v>0</v>
      </c>
      <c r="G275" s="41" t="s">
        <v>5</v>
      </c>
      <c r="H275" s="22">
        <f>B275+I275</f>
        <v>416.66666666666669</v>
      </c>
      <c r="I275" s="59"/>
      <c r="J275" s="64"/>
    </row>
    <row r="276" spans="1:10" s="23" customFormat="1" ht="16.5" hidden="1" customHeight="1">
      <c r="A276" s="63" t="s">
        <v>111</v>
      </c>
      <c r="B276" s="115">
        <f t="shared" ref="B276" si="183">C276/1.2</f>
        <v>433.33333333333337</v>
      </c>
      <c r="C276" s="56">
        <v>520</v>
      </c>
      <c r="D276" s="55"/>
      <c r="E276" s="105"/>
      <c r="F276" s="109">
        <f t="shared" ref="F276" si="184">E276*B276</f>
        <v>0</v>
      </c>
      <c r="G276" s="41" t="s">
        <v>5</v>
      </c>
      <c r="H276" s="22">
        <f>B276+I276</f>
        <v>433.33333333333337</v>
      </c>
      <c r="I276" s="59"/>
      <c r="J276" s="64"/>
    </row>
    <row r="277" spans="1:10" s="23" customFormat="1" ht="16.5" customHeight="1">
      <c r="A277" s="63" t="s">
        <v>234</v>
      </c>
      <c r="B277" s="115">
        <f>F277/E277</f>
        <v>418.47421735241505</v>
      </c>
      <c r="C277" s="56">
        <f>B277*1.2</f>
        <v>502.16906082289802</v>
      </c>
      <c r="D277" s="55"/>
      <c r="E277" s="105">
        <v>447.2</v>
      </c>
      <c r="F277" s="109">
        <v>187141.67</v>
      </c>
      <c r="G277" s="41" t="s">
        <v>5</v>
      </c>
      <c r="H277" s="22">
        <f>B277+I277</f>
        <v>418.47421735241505</v>
      </c>
      <c r="I277" s="59"/>
      <c r="J277" s="64"/>
    </row>
    <row r="278" spans="1:10" s="23" customFormat="1" ht="17.100000000000001" customHeight="1">
      <c r="A278" s="57" t="s">
        <v>41</v>
      </c>
      <c r="B278" s="115">
        <f t="shared" ref="B278" si="185">C278/1.2</f>
        <v>366.66666666666669</v>
      </c>
      <c r="C278" s="56">
        <v>440</v>
      </c>
      <c r="D278" s="55"/>
      <c r="E278" s="105">
        <v>1447.7</v>
      </c>
      <c r="F278" s="109">
        <f t="shared" si="182"/>
        <v>530823.33333333337</v>
      </c>
      <c r="G278" s="41" t="s">
        <v>5</v>
      </c>
      <c r="H278" s="22">
        <f t="shared" si="173"/>
        <v>366.66666666666669</v>
      </c>
      <c r="I278" s="8"/>
      <c r="J278" s="7"/>
    </row>
    <row r="279" spans="1:10" s="23" customFormat="1" ht="17.100000000000001" customHeight="1" thickBot="1">
      <c r="A279" s="184" t="s">
        <v>185</v>
      </c>
      <c r="B279" s="115">
        <f t="shared" ref="B279" si="186">C279/1.2</f>
        <v>433.33333333333337</v>
      </c>
      <c r="C279" s="56">
        <v>520</v>
      </c>
      <c r="D279" s="55"/>
      <c r="E279" s="105">
        <v>289.10000000000002</v>
      </c>
      <c r="F279" s="109">
        <f t="shared" ref="F279" si="187">E279*B279</f>
        <v>125276.66666666669</v>
      </c>
      <c r="G279" s="41" t="s">
        <v>5</v>
      </c>
      <c r="H279" s="22">
        <f t="shared" ref="H279" si="188">B279+I279</f>
        <v>433.33333333333337</v>
      </c>
      <c r="I279" s="93"/>
      <c r="J279" s="185"/>
    </row>
    <row r="280" spans="1:10" s="25" customFormat="1" ht="30" customHeight="1" thickBot="1">
      <c r="A280" s="102" t="s">
        <v>30</v>
      </c>
      <c r="B280" s="112">
        <f>F280/E280</f>
        <v>422.79896938281354</v>
      </c>
      <c r="C280" s="42"/>
      <c r="D280" s="43">
        <f>58800+22000</f>
        <v>80800</v>
      </c>
      <c r="E280" s="44">
        <f>SUM(E137:E279)</f>
        <v>60664.619999999974</v>
      </c>
      <c r="F280" s="44">
        <f>SUM(F137:F279)</f>
        <v>25648938.814000007</v>
      </c>
      <c r="G280" s="45"/>
      <c r="H280" s="43">
        <f>B280+I280</f>
        <v>422.79896938281354</v>
      </c>
      <c r="I280" s="43"/>
      <c r="J280" s="46"/>
    </row>
    <row r="281" spans="1:10" s="25" customFormat="1" ht="30" hidden="1" customHeight="1" thickBot="1">
      <c r="A281" s="220" t="s">
        <v>146</v>
      </c>
      <c r="B281" s="221"/>
      <c r="C281" s="221"/>
      <c r="D281" s="221"/>
      <c r="E281" s="221"/>
      <c r="F281" s="221"/>
      <c r="G281" s="221"/>
      <c r="H281" s="221"/>
      <c r="I281" s="221"/>
      <c r="J281" s="222"/>
    </row>
    <row r="282" spans="1:10" s="25" customFormat="1" ht="17.100000000000001" hidden="1" customHeight="1" thickBot="1">
      <c r="A282" s="60" t="s">
        <v>82</v>
      </c>
      <c r="B282" s="110">
        <f>C282</f>
        <v>560</v>
      </c>
      <c r="C282" s="50">
        <v>560</v>
      </c>
      <c r="D282" s="51"/>
      <c r="E282" s="107"/>
      <c r="F282" s="173">
        <f>C282*E282</f>
        <v>0</v>
      </c>
      <c r="G282" s="52" t="s">
        <v>6</v>
      </c>
      <c r="H282" s="53">
        <f t="shared" ref="H282" si="189">C282+I282+J282</f>
        <v>1185</v>
      </c>
      <c r="I282" s="110">
        <v>625</v>
      </c>
      <c r="J282" s="54"/>
    </row>
    <row r="283" spans="1:10" s="25" customFormat="1" ht="30" hidden="1" customHeight="1" thickBot="1">
      <c r="A283" s="103" t="s">
        <v>147</v>
      </c>
      <c r="B283" s="111" t="e">
        <f>F283/E283</f>
        <v>#DIV/0!</v>
      </c>
      <c r="C283" s="42"/>
      <c r="D283" s="43"/>
      <c r="E283" s="44">
        <f>E282</f>
        <v>0</v>
      </c>
      <c r="F283" s="43">
        <f>F282</f>
        <v>0</v>
      </c>
      <c r="G283" s="45"/>
      <c r="H283" s="43"/>
      <c r="I283" s="43"/>
      <c r="J283" s="46"/>
    </row>
    <row r="284" spans="1:10" s="25" customFormat="1" ht="30" customHeight="1" thickBot="1">
      <c r="A284" s="220" t="s">
        <v>96</v>
      </c>
      <c r="B284" s="221"/>
      <c r="C284" s="221"/>
      <c r="D284" s="221"/>
      <c r="E284" s="221"/>
      <c r="F284" s="221"/>
      <c r="G284" s="221"/>
      <c r="H284" s="221"/>
      <c r="I284" s="221"/>
      <c r="J284" s="222"/>
    </row>
    <row r="285" spans="1:10" s="25" customFormat="1" ht="17.100000000000001" customHeight="1" thickBot="1">
      <c r="A285" s="49" t="s">
        <v>38</v>
      </c>
      <c r="B285" s="116">
        <f>C285</f>
        <v>514</v>
      </c>
      <c r="C285" s="50">
        <v>514</v>
      </c>
      <c r="D285" s="51"/>
      <c r="E285" s="107">
        <v>5813.05</v>
      </c>
      <c r="F285" s="109">
        <f>C285*E285</f>
        <v>2987907.7</v>
      </c>
      <c r="G285" s="52" t="s">
        <v>6</v>
      </c>
      <c r="H285" s="53">
        <f t="shared" ref="H285" si="190">C285+I285+J285</f>
        <v>1040</v>
      </c>
      <c r="I285" s="110">
        <v>526</v>
      </c>
      <c r="J285" s="54"/>
    </row>
    <row r="286" spans="1:10" s="25" customFormat="1" ht="30" customHeight="1" thickBot="1">
      <c r="A286" s="103" t="s">
        <v>97</v>
      </c>
      <c r="B286" s="111">
        <f>F286/E286</f>
        <v>514</v>
      </c>
      <c r="C286" s="42"/>
      <c r="D286" s="43">
        <v>10000</v>
      </c>
      <c r="E286" s="44">
        <f>E285</f>
        <v>5813.05</v>
      </c>
      <c r="F286" s="43">
        <f>F285</f>
        <v>2987907.7</v>
      </c>
      <c r="G286" s="45"/>
      <c r="H286" s="43"/>
      <c r="I286" s="43"/>
      <c r="J286" s="46"/>
    </row>
    <row r="287" spans="1:10" s="23" customFormat="1" ht="24.95" customHeight="1" thickBot="1">
      <c r="A287" s="220" t="s">
        <v>26</v>
      </c>
      <c r="B287" s="221"/>
      <c r="C287" s="221"/>
      <c r="D287" s="221"/>
      <c r="E287" s="221"/>
      <c r="F287" s="221"/>
      <c r="G287" s="221"/>
      <c r="H287" s="221"/>
      <c r="I287" s="221"/>
      <c r="J287" s="222"/>
    </row>
    <row r="288" spans="1:10" ht="17.100000000000001" hidden="1" customHeight="1">
      <c r="A288" s="57" t="s">
        <v>211</v>
      </c>
      <c r="B288" s="115">
        <f t="shared" ref="B288:B299" si="191">C288/1.2</f>
        <v>433.33333333333337</v>
      </c>
      <c r="C288" s="56">
        <v>520</v>
      </c>
      <c r="D288" s="8"/>
      <c r="E288" s="105"/>
      <c r="F288" s="109">
        <f t="shared" ref="F288:F299" si="192">E288*B288</f>
        <v>0</v>
      </c>
      <c r="G288" s="41" t="s">
        <v>5</v>
      </c>
      <c r="H288" s="22">
        <f t="shared" ref="H288:H298" si="193">B288+I288</f>
        <v>433.33333333333337</v>
      </c>
      <c r="I288" s="2"/>
      <c r="J288" s="3"/>
    </row>
    <row r="289" spans="1:10" ht="17.100000000000001" customHeight="1">
      <c r="A289" s="57" t="s">
        <v>49</v>
      </c>
      <c r="B289" s="115">
        <f t="shared" ref="B289" si="194">C289/1.2</f>
        <v>425</v>
      </c>
      <c r="C289" s="56">
        <v>510</v>
      </c>
      <c r="D289" s="8"/>
      <c r="E289" s="105">
        <v>53.7</v>
      </c>
      <c r="F289" s="109">
        <f t="shared" ref="F289" si="195">E289*B289</f>
        <v>22822.5</v>
      </c>
      <c r="G289" s="41" t="s">
        <v>5</v>
      </c>
      <c r="H289" s="22">
        <f t="shared" ref="H289" si="196">B289+I289</f>
        <v>425</v>
      </c>
      <c r="I289" s="2"/>
      <c r="J289" s="3"/>
    </row>
    <row r="290" spans="1:10" ht="17.100000000000001" hidden="1" customHeight="1">
      <c r="A290" s="57" t="s">
        <v>88</v>
      </c>
      <c r="B290" s="115">
        <f t="shared" si="191"/>
        <v>433.33333333333337</v>
      </c>
      <c r="C290" s="56">
        <v>520</v>
      </c>
      <c r="D290" s="55"/>
      <c r="E290" s="105"/>
      <c r="F290" s="109">
        <f t="shared" si="192"/>
        <v>0</v>
      </c>
      <c r="G290" s="41" t="s">
        <v>5</v>
      </c>
      <c r="H290" s="22">
        <f t="shared" si="193"/>
        <v>433.33333333333337</v>
      </c>
      <c r="I290" s="2"/>
      <c r="J290" s="3"/>
    </row>
    <row r="291" spans="1:10" ht="17.100000000000001" hidden="1" customHeight="1">
      <c r="A291" s="57" t="s">
        <v>89</v>
      </c>
      <c r="B291" s="115">
        <f t="shared" ref="B291:B292" si="197">C291/1.2</f>
        <v>0</v>
      </c>
      <c r="C291" s="56"/>
      <c r="D291" s="55"/>
      <c r="E291" s="105"/>
      <c r="F291" s="109">
        <f t="shared" ref="F291" si="198">E291*B291</f>
        <v>0</v>
      </c>
      <c r="G291" s="41" t="s">
        <v>5</v>
      </c>
      <c r="H291" s="22">
        <f t="shared" ref="H291" si="199">B291+I291</f>
        <v>0</v>
      </c>
      <c r="I291" s="2"/>
      <c r="J291" s="3"/>
    </row>
    <row r="292" spans="1:10" ht="17.100000000000001" hidden="1" customHeight="1">
      <c r="A292" s="57" t="s">
        <v>93</v>
      </c>
      <c r="B292" s="115">
        <f t="shared" si="197"/>
        <v>0</v>
      </c>
      <c r="C292" s="56"/>
      <c r="D292" s="55"/>
      <c r="E292" s="105"/>
      <c r="F292" s="109">
        <f t="shared" ref="F292" si="200">E292*B292</f>
        <v>0</v>
      </c>
      <c r="G292" s="41" t="s">
        <v>5</v>
      </c>
      <c r="H292" s="22">
        <f t="shared" ref="H292" si="201">B292+I292</f>
        <v>0</v>
      </c>
      <c r="I292" s="2"/>
      <c r="J292" s="3"/>
    </row>
    <row r="293" spans="1:10" ht="17.100000000000001" customHeight="1">
      <c r="A293" s="57" t="s">
        <v>161</v>
      </c>
      <c r="B293" s="115">
        <f t="shared" ref="B293" si="202">C293/1.2</f>
        <v>416.66666666666669</v>
      </c>
      <c r="C293" s="56">
        <v>500</v>
      </c>
      <c r="D293" s="55"/>
      <c r="E293" s="105">
        <v>1110.5</v>
      </c>
      <c r="F293" s="109">
        <f t="shared" ref="F293" si="203">E293*B293</f>
        <v>462708.33333333337</v>
      </c>
      <c r="G293" s="41" t="s">
        <v>5</v>
      </c>
      <c r="H293" s="22">
        <f t="shared" ref="H293" si="204">B293+I293</f>
        <v>416.66666666666669</v>
      </c>
      <c r="I293" s="2"/>
      <c r="J293" s="3"/>
    </row>
    <row r="294" spans="1:10" ht="17.100000000000001" customHeight="1">
      <c r="A294" s="57" t="s">
        <v>92</v>
      </c>
      <c r="B294" s="115">
        <f t="shared" ref="B294" si="205">C294/1.2</f>
        <v>425</v>
      </c>
      <c r="C294" s="56">
        <v>510</v>
      </c>
      <c r="D294" s="55"/>
      <c r="E294" s="105">
        <v>143.80000000000001</v>
      </c>
      <c r="F294" s="109">
        <f t="shared" ref="F294" si="206">E294*B294</f>
        <v>61115.000000000007</v>
      </c>
      <c r="G294" s="41" t="s">
        <v>5</v>
      </c>
      <c r="H294" s="22">
        <f t="shared" ref="H294" si="207">B294+I294</f>
        <v>425</v>
      </c>
      <c r="I294" s="2"/>
      <c r="J294" s="3"/>
    </row>
    <row r="295" spans="1:10" ht="17.100000000000001" customHeight="1">
      <c r="A295" s="57" t="s">
        <v>17</v>
      </c>
      <c r="B295" s="115">
        <f t="shared" si="191"/>
        <v>383.33333333333337</v>
      </c>
      <c r="C295" s="56">
        <v>460</v>
      </c>
      <c r="D295" s="55"/>
      <c r="E295" s="105">
        <v>59.7</v>
      </c>
      <c r="F295" s="109">
        <f t="shared" si="192"/>
        <v>22885.000000000004</v>
      </c>
      <c r="G295" s="41" t="s">
        <v>5</v>
      </c>
      <c r="H295" s="22">
        <f t="shared" si="193"/>
        <v>383.33333333333337</v>
      </c>
      <c r="I295" s="8"/>
      <c r="J295" s="7"/>
    </row>
    <row r="296" spans="1:10" ht="17.100000000000001" customHeight="1">
      <c r="A296" s="57" t="s">
        <v>248</v>
      </c>
      <c r="B296" s="115">
        <f t="shared" si="191"/>
        <v>383.33333333333337</v>
      </c>
      <c r="C296" s="56">
        <v>460</v>
      </c>
      <c r="D296" s="55"/>
      <c r="E296" s="105">
        <v>221</v>
      </c>
      <c r="F296" s="109">
        <f t="shared" si="192"/>
        <v>84716.666666666672</v>
      </c>
      <c r="G296" s="41" t="s">
        <v>5</v>
      </c>
      <c r="H296" s="22">
        <f t="shared" si="193"/>
        <v>383.33333333333337</v>
      </c>
      <c r="I296" s="8"/>
      <c r="J296" s="191"/>
    </row>
    <row r="297" spans="1:10" ht="17.100000000000001" customHeight="1">
      <c r="A297" s="57" t="s">
        <v>255</v>
      </c>
      <c r="B297" s="115">
        <f t="shared" si="191"/>
        <v>383.33333333333337</v>
      </c>
      <c r="C297" s="56">
        <v>460</v>
      </c>
      <c r="D297" s="55"/>
      <c r="E297" s="105">
        <v>682.6</v>
      </c>
      <c r="F297" s="109">
        <f t="shared" si="192"/>
        <v>261663.33333333337</v>
      </c>
      <c r="G297" s="41" t="s">
        <v>5</v>
      </c>
      <c r="H297" s="22">
        <f t="shared" si="193"/>
        <v>383.33333333333337</v>
      </c>
      <c r="I297" s="8"/>
      <c r="J297" s="191"/>
    </row>
    <row r="298" spans="1:10" ht="17.100000000000001" customHeight="1">
      <c r="A298" s="57" t="s">
        <v>224</v>
      </c>
      <c r="B298" s="115">
        <f t="shared" si="191"/>
        <v>416.66666666666669</v>
      </c>
      <c r="C298" s="56">
        <v>500</v>
      </c>
      <c r="D298" s="55"/>
      <c r="E298" s="105">
        <v>27.9</v>
      </c>
      <c r="F298" s="109">
        <f t="shared" ref="F298" si="208">E298*B298</f>
        <v>11625</v>
      </c>
      <c r="G298" s="41" t="s">
        <v>5</v>
      </c>
      <c r="H298" s="22">
        <f t="shared" si="193"/>
        <v>416.66666666666669</v>
      </c>
      <c r="I298" s="8"/>
      <c r="J298" s="191"/>
    </row>
    <row r="299" spans="1:10" ht="17.100000000000001" hidden="1" customHeight="1">
      <c r="A299" s="57" t="s">
        <v>62</v>
      </c>
      <c r="B299" s="115">
        <f t="shared" si="191"/>
        <v>428.33333333333337</v>
      </c>
      <c r="C299" s="56">
        <v>514</v>
      </c>
      <c r="D299" s="55"/>
      <c r="E299" s="105"/>
      <c r="F299" s="109">
        <f t="shared" si="192"/>
        <v>0</v>
      </c>
      <c r="G299" s="41" t="s">
        <v>5</v>
      </c>
      <c r="H299" s="22">
        <f>B299+I299</f>
        <v>741.66666666666674</v>
      </c>
      <c r="I299" s="8">
        <f>376/1.2</f>
        <v>313.33333333333337</v>
      </c>
      <c r="J299" s="8"/>
    </row>
    <row r="300" spans="1:10" ht="17.100000000000001" hidden="1" customHeight="1">
      <c r="A300" s="57" t="s">
        <v>138</v>
      </c>
      <c r="B300" s="115">
        <f t="shared" ref="B300" si="209">C300/1.2</f>
        <v>433.33333333333337</v>
      </c>
      <c r="C300" s="56">
        <v>520</v>
      </c>
      <c r="D300" s="55"/>
      <c r="E300" s="105"/>
      <c r="F300" s="109">
        <f t="shared" ref="F300" si="210">E300*B300</f>
        <v>0</v>
      </c>
      <c r="G300" s="41" t="s">
        <v>5</v>
      </c>
      <c r="H300" s="22">
        <f>B300+I300</f>
        <v>433.33333333333337</v>
      </c>
      <c r="I300" s="8"/>
      <c r="J300" s="8"/>
    </row>
    <row r="301" spans="1:10" ht="17.100000000000001" customHeight="1">
      <c r="A301" s="57" t="s">
        <v>118</v>
      </c>
      <c r="B301" s="115">
        <f>F301/E301</f>
        <v>398.97253978928489</v>
      </c>
      <c r="C301" s="56">
        <f>B301*1.2</f>
        <v>478.76704774714187</v>
      </c>
      <c r="D301" s="55"/>
      <c r="E301" s="105">
        <v>6691.5</v>
      </c>
      <c r="F301" s="109">
        <v>2669724.75</v>
      </c>
      <c r="G301" s="41" t="s">
        <v>5</v>
      </c>
      <c r="H301" s="22">
        <f>B301+I301</f>
        <v>754.80587312261832</v>
      </c>
      <c r="I301" s="8">
        <f>427/1.2</f>
        <v>355.83333333333337</v>
      </c>
      <c r="J301" s="8"/>
    </row>
    <row r="302" spans="1:10" ht="17.100000000000001" hidden="1" customHeight="1">
      <c r="A302" s="57" t="s">
        <v>208</v>
      </c>
      <c r="B302" s="115">
        <f t="shared" ref="B302:B303" si="211">C302/1.2</f>
        <v>416.66666666666669</v>
      </c>
      <c r="C302" s="56">
        <v>500</v>
      </c>
      <c r="D302" s="55"/>
      <c r="E302" s="105"/>
      <c r="F302" s="109">
        <f t="shared" ref="F302:F303" si="212">E302*B302</f>
        <v>0</v>
      </c>
      <c r="G302" s="41" t="s">
        <v>5</v>
      </c>
      <c r="H302" s="22">
        <f t="shared" ref="H302:H303" si="213">B302+I302</f>
        <v>416.66666666666669</v>
      </c>
      <c r="I302" s="8"/>
      <c r="J302" s="8"/>
    </row>
    <row r="303" spans="1:10" ht="17.100000000000001" customHeight="1">
      <c r="A303" s="57" t="s">
        <v>187</v>
      </c>
      <c r="B303" s="115">
        <f t="shared" si="211"/>
        <v>400</v>
      </c>
      <c r="C303" s="56">
        <v>480</v>
      </c>
      <c r="D303" s="55"/>
      <c r="E303" s="105">
        <v>367.7</v>
      </c>
      <c r="F303" s="109">
        <f t="shared" si="212"/>
        <v>147080</v>
      </c>
      <c r="G303" s="41" t="s">
        <v>5</v>
      </c>
      <c r="H303" s="22">
        <f t="shared" si="213"/>
        <v>400</v>
      </c>
      <c r="I303" s="8"/>
      <c r="J303" s="8"/>
    </row>
    <row r="304" spans="1:10" ht="17.100000000000001" hidden="1" customHeight="1">
      <c r="A304" s="57" t="s">
        <v>63</v>
      </c>
      <c r="B304" s="115" t="e">
        <f>F304/E304</f>
        <v>#DIV/0!</v>
      </c>
      <c r="C304" s="56" t="e">
        <f>B304*1.2</f>
        <v>#DIV/0!</v>
      </c>
      <c r="D304" s="55"/>
      <c r="E304" s="105"/>
      <c r="F304" s="109">
        <v>0</v>
      </c>
      <c r="G304" s="41" t="s">
        <v>5</v>
      </c>
      <c r="H304" s="22" t="e">
        <f t="shared" ref="H304" si="214">B304+I304</f>
        <v>#DIV/0!</v>
      </c>
      <c r="I304" s="8"/>
      <c r="J304" s="8"/>
    </row>
    <row r="305" spans="1:10" ht="17.100000000000001" customHeight="1">
      <c r="A305" s="57" t="s">
        <v>167</v>
      </c>
      <c r="B305" s="115">
        <f t="shared" ref="B305:B308" si="215">C305/1.2</f>
        <v>433.33333333333337</v>
      </c>
      <c r="C305" s="56">
        <v>520</v>
      </c>
      <c r="D305" s="55"/>
      <c r="E305" s="105">
        <v>49</v>
      </c>
      <c r="F305" s="109">
        <f t="shared" ref="F305" si="216">E305*B305</f>
        <v>21233.333333333336</v>
      </c>
      <c r="G305" s="41" t="s">
        <v>5</v>
      </c>
      <c r="H305" s="22">
        <f t="shared" ref="H305:H308" si="217">B305+I305</f>
        <v>433.33333333333337</v>
      </c>
      <c r="I305" s="8"/>
      <c r="J305" s="8"/>
    </row>
    <row r="306" spans="1:10" ht="17.100000000000001" hidden="1" customHeight="1">
      <c r="A306" s="57" t="s">
        <v>67</v>
      </c>
      <c r="B306" s="115">
        <f t="shared" si="215"/>
        <v>400</v>
      </c>
      <c r="C306" s="56">
        <v>480</v>
      </c>
      <c r="D306" s="55"/>
      <c r="E306" s="105"/>
      <c r="F306" s="109">
        <f t="shared" ref="F306:F308" si="218">E306*B306</f>
        <v>0</v>
      </c>
      <c r="G306" s="41" t="s">
        <v>5</v>
      </c>
      <c r="H306" s="22">
        <f t="shared" si="217"/>
        <v>733.33333333333337</v>
      </c>
      <c r="I306" s="8">
        <f>400/1.2</f>
        <v>333.33333333333337</v>
      </c>
      <c r="J306" s="8"/>
    </row>
    <row r="307" spans="1:10" ht="17.100000000000001" customHeight="1">
      <c r="A307" s="57" t="s">
        <v>43</v>
      </c>
      <c r="B307" s="115">
        <f t="shared" si="215"/>
        <v>425</v>
      </c>
      <c r="C307" s="56">
        <v>510</v>
      </c>
      <c r="D307" s="55"/>
      <c r="E307" s="105">
        <v>169.2</v>
      </c>
      <c r="F307" s="109">
        <f t="shared" si="218"/>
        <v>71910</v>
      </c>
      <c r="G307" s="41" t="s">
        <v>5</v>
      </c>
      <c r="H307" s="22">
        <f t="shared" si="217"/>
        <v>425</v>
      </c>
      <c r="I307" s="8"/>
      <c r="J307" s="8"/>
    </row>
    <row r="308" spans="1:10" ht="17.100000000000001" customHeight="1">
      <c r="A308" s="57" t="s">
        <v>246</v>
      </c>
      <c r="B308" s="115">
        <f t="shared" si="215"/>
        <v>400</v>
      </c>
      <c r="C308" s="56">
        <v>480</v>
      </c>
      <c r="D308" s="55"/>
      <c r="E308" s="105">
        <v>1554.2</v>
      </c>
      <c r="F308" s="109">
        <f t="shared" si="218"/>
        <v>621680</v>
      </c>
      <c r="G308" s="41" t="s">
        <v>5</v>
      </c>
      <c r="H308" s="22">
        <f t="shared" si="217"/>
        <v>400</v>
      </c>
      <c r="I308" s="8"/>
      <c r="J308" s="8"/>
    </row>
    <row r="309" spans="1:10" ht="17.100000000000001" hidden="1" customHeight="1">
      <c r="A309" s="57" t="s">
        <v>171</v>
      </c>
      <c r="B309" s="115">
        <f>C309/1.2</f>
        <v>370.83333333333337</v>
      </c>
      <c r="C309" s="56">
        <v>445</v>
      </c>
      <c r="D309" s="8"/>
      <c r="E309" s="105"/>
      <c r="F309" s="109">
        <f t="shared" ref="F309" si="219">E309*B309</f>
        <v>0</v>
      </c>
      <c r="G309" s="41" t="s">
        <v>5</v>
      </c>
      <c r="H309" s="22">
        <f t="shared" ref="H309" si="220">B309+I309</f>
        <v>1075</v>
      </c>
      <c r="I309" s="8">
        <f>845/1.2</f>
        <v>704.16666666666674</v>
      </c>
      <c r="J309" s="8"/>
    </row>
    <row r="310" spans="1:10" ht="17.100000000000001" customHeight="1">
      <c r="A310" s="57" t="s">
        <v>168</v>
      </c>
      <c r="B310" s="115">
        <f>C310/1.2</f>
        <v>433.33333333333337</v>
      </c>
      <c r="C310" s="56">
        <v>520</v>
      </c>
      <c r="D310" s="8"/>
      <c r="E310" s="105">
        <v>43.5</v>
      </c>
      <c r="F310" s="109">
        <f t="shared" ref="F310:F399" si="221">E310*B310</f>
        <v>18850</v>
      </c>
      <c r="G310" s="41" t="s">
        <v>5</v>
      </c>
      <c r="H310" s="22">
        <f t="shared" ref="H310:H354" si="222">B310+I310</f>
        <v>433.33333333333337</v>
      </c>
      <c r="I310" s="8"/>
      <c r="J310" s="8"/>
    </row>
    <row r="311" spans="1:10" ht="17.100000000000001" hidden="1" customHeight="1">
      <c r="A311" s="57" t="s">
        <v>113</v>
      </c>
      <c r="B311" s="115">
        <f>C311/1.2</f>
        <v>433.33333333333337</v>
      </c>
      <c r="C311" s="56">
        <v>520</v>
      </c>
      <c r="D311" s="8"/>
      <c r="E311" s="105"/>
      <c r="F311" s="109">
        <f t="shared" ref="F311" si="223">E311*B311</f>
        <v>0</v>
      </c>
      <c r="G311" s="41" t="s">
        <v>5</v>
      </c>
      <c r="H311" s="22">
        <f t="shared" ref="H311" si="224">B311+I311</f>
        <v>433.33333333333337</v>
      </c>
      <c r="I311" s="8"/>
      <c r="J311" s="8"/>
    </row>
    <row r="312" spans="1:10" ht="17.100000000000001" hidden="1" customHeight="1">
      <c r="A312" s="57" t="s">
        <v>162</v>
      </c>
      <c r="B312" s="115">
        <f>C312/1.2</f>
        <v>433.33333333333337</v>
      </c>
      <c r="C312" s="56">
        <v>520</v>
      </c>
      <c r="D312" s="8"/>
      <c r="E312" s="105"/>
      <c r="F312" s="109">
        <f t="shared" ref="F312" si="225">E312*B312</f>
        <v>0</v>
      </c>
      <c r="G312" s="41" t="s">
        <v>5</v>
      </c>
      <c r="H312" s="22">
        <f t="shared" ref="H312" si="226">B312+I312</f>
        <v>433.33333333333337</v>
      </c>
      <c r="I312" s="8"/>
      <c r="J312" s="8"/>
    </row>
    <row r="313" spans="1:10" ht="17.100000000000001" hidden="1" customHeight="1">
      <c r="A313" s="57" t="s">
        <v>135</v>
      </c>
      <c r="B313" s="115">
        <f>C313/1.2</f>
        <v>0</v>
      </c>
      <c r="C313" s="56"/>
      <c r="D313" s="8"/>
      <c r="E313" s="105"/>
      <c r="F313" s="109">
        <f t="shared" ref="F313:F314" si="227">E313*B313</f>
        <v>0</v>
      </c>
      <c r="G313" s="41" t="s">
        <v>5</v>
      </c>
      <c r="H313" s="22">
        <f t="shared" ref="H313" si="228">B313+I313</f>
        <v>0</v>
      </c>
      <c r="I313" s="8"/>
      <c r="J313" s="8"/>
    </row>
    <row r="314" spans="1:10" ht="17.100000000000001" customHeight="1">
      <c r="A314" s="57" t="s">
        <v>34</v>
      </c>
      <c r="B314" s="115">
        <f t="shared" ref="B314:B317" si="229">C314/1.2</f>
        <v>391.66666666666669</v>
      </c>
      <c r="C314" s="56">
        <v>470</v>
      </c>
      <c r="D314" s="55"/>
      <c r="E314" s="105">
        <v>1123.4000000000001</v>
      </c>
      <c r="F314" s="109">
        <f t="shared" si="227"/>
        <v>439998.33333333337</v>
      </c>
      <c r="G314" s="41" t="s">
        <v>5</v>
      </c>
      <c r="H314" s="22">
        <f t="shared" ref="H314:H317" si="230">B314+I314</f>
        <v>391.66666666666669</v>
      </c>
      <c r="I314" s="8"/>
      <c r="J314" s="8"/>
    </row>
    <row r="315" spans="1:10" ht="17.100000000000001" customHeight="1">
      <c r="A315" s="57" t="s">
        <v>272</v>
      </c>
      <c r="B315" s="115">
        <f t="shared" si="229"/>
        <v>433.33333333333337</v>
      </c>
      <c r="C315" s="56">
        <v>520</v>
      </c>
      <c r="D315" s="55"/>
      <c r="E315" s="105">
        <v>170.5</v>
      </c>
      <c r="F315" s="109">
        <f t="shared" ref="F315" si="231">E315*B315</f>
        <v>73883.333333333343</v>
      </c>
      <c r="G315" s="41" t="s">
        <v>5</v>
      </c>
      <c r="H315" s="22">
        <f t="shared" si="230"/>
        <v>433.33333333333337</v>
      </c>
      <c r="I315" s="8"/>
      <c r="J315" s="8"/>
    </row>
    <row r="316" spans="1:10" ht="17.100000000000001" customHeight="1">
      <c r="A316" s="57" t="s">
        <v>236</v>
      </c>
      <c r="B316" s="115">
        <f t="shared" si="229"/>
        <v>375</v>
      </c>
      <c r="C316" s="56">
        <v>450</v>
      </c>
      <c r="D316" s="55"/>
      <c r="E316" s="105">
        <v>160.80000000000001</v>
      </c>
      <c r="F316" s="109">
        <f t="shared" ref="F316:F317" si="232">E316*B316</f>
        <v>60300.000000000007</v>
      </c>
      <c r="G316" s="41" t="s">
        <v>5</v>
      </c>
      <c r="H316" s="22">
        <f t="shared" si="230"/>
        <v>375</v>
      </c>
      <c r="I316" s="8"/>
      <c r="J316" s="8"/>
    </row>
    <row r="317" spans="1:10" ht="17.100000000000001" customHeight="1">
      <c r="A317" s="57" t="s">
        <v>47</v>
      </c>
      <c r="B317" s="115">
        <f t="shared" si="229"/>
        <v>433.33333333333337</v>
      </c>
      <c r="C317" s="56">
        <v>520</v>
      </c>
      <c r="D317" s="55"/>
      <c r="E317" s="105">
        <v>47.3</v>
      </c>
      <c r="F317" s="109">
        <f t="shared" si="232"/>
        <v>20496.666666666668</v>
      </c>
      <c r="G317" s="41" t="s">
        <v>5</v>
      </c>
      <c r="H317" s="22">
        <f t="shared" si="230"/>
        <v>433.33333333333337</v>
      </c>
      <c r="I317" s="8"/>
      <c r="J317" s="8"/>
    </row>
    <row r="318" spans="1:10" ht="17.100000000000001" customHeight="1">
      <c r="A318" s="57" t="s">
        <v>163</v>
      </c>
      <c r="B318" s="115">
        <f t="shared" ref="B318" si="233">C318/1.2</f>
        <v>375</v>
      </c>
      <c r="C318" s="56">
        <v>450</v>
      </c>
      <c r="D318" s="55"/>
      <c r="E318" s="105">
        <v>1100.5</v>
      </c>
      <c r="F318" s="109">
        <f t="shared" ref="F318" si="234">E318*B318</f>
        <v>412687.5</v>
      </c>
      <c r="G318" s="41" t="s">
        <v>5</v>
      </c>
      <c r="H318" s="22">
        <f t="shared" ref="H318:H319" si="235">B318+I318</f>
        <v>375</v>
      </c>
      <c r="I318" s="8"/>
      <c r="J318" s="8"/>
    </row>
    <row r="319" spans="1:10" ht="17.100000000000001" hidden="1" customHeight="1">
      <c r="A319" s="57" t="s">
        <v>164</v>
      </c>
      <c r="B319" s="115" t="e">
        <f>F319/E319</f>
        <v>#DIV/0!</v>
      </c>
      <c r="C319" s="56" t="e">
        <f>B319*1.2</f>
        <v>#DIV/0!</v>
      </c>
      <c r="D319" s="55"/>
      <c r="E319" s="105"/>
      <c r="F319" s="109">
        <v>0</v>
      </c>
      <c r="G319" s="41" t="s">
        <v>5</v>
      </c>
      <c r="H319" s="22" t="e">
        <f t="shared" si="235"/>
        <v>#DIV/0!</v>
      </c>
      <c r="I319" s="8"/>
      <c r="J319" s="8"/>
    </row>
    <row r="320" spans="1:10" ht="17.100000000000001" customHeight="1">
      <c r="A320" s="57" t="s">
        <v>134</v>
      </c>
      <c r="B320" s="115">
        <f t="shared" ref="B320" si="236">C320/1.2</f>
        <v>425</v>
      </c>
      <c r="C320" s="56">
        <v>510</v>
      </c>
      <c r="D320" s="55"/>
      <c r="E320" s="105">
        <v>618.6</v>
      </c>
      <c r="F320" s="109">
        <f t="shared" ref="F320" si="237">E320*B320</f>
        <v>262905</v>
      </c>
      <c r="G320" s="41" t="s">
        <v>5</v>
      </c>
      <c r="H320" s="22">
        <f t="shared" ref="H320" si="238">B320+I320</f>
        <v>425</v>
      </c>
      <c r="I320" s="8"/>
      <c r="J320" s="8"/>
    </row>
    <row r="321" spans="1:10" ht="17.100000000000001" customHeight="1">
      <c r="A321" s="57" t="s">
        <v>20</v>
      </c>
      <c r="B321" s="115">
        <f t="shared" ref="B321:B354" si="239">C321/1.2</f>
        <v>383.33333333333337</v>
      </c>
      <c r="C321" s="56">
        <v>460</v>
      </c>
      <c r="D321" s="55"/>
      <c r="E321" s="105">
        <v>82.1</v>
      </c>
      <c r="F321" s="109">
        <f t="shared" si="221"/>
        <v>31471.666666666668</v>
      </c>
      <c r="G321" s="41" t="s">
        <v>5</v>
      </c>
      <c r="H321" s="22">
        <f t="shared" si="222"/>
        <v>383.33333333333337</v>
      </c>
      <c r="I321" s="8"/>
      <c r="J321" s="8"/>
    </row>
    <row r="322" spans="1:10" ht="17.100000000000001" customHeight="1">
      <c r="A322" s="57" t="s">
        <v>52</v>
      </c>
      <c r="B322" s="115">
        <f t="shared" si="239"/>
        <v>391.66666666666669</v>
      </c>
      <c r="C322" s="56">
        <v>470</v>
      </c>
      <c r="D322" s="55"/>
      <c r="E322" s="105">
        <v>190.9</v>
      </c>
      <c r="F322" s="109">
        <f t="shared" ref="F322:F331" si="240">E322*B322</f>
        <v>74769.166666666672</v>
      </c>
      <c r="G322" s="41" t="s">
        <v>5</v>
      </c>
      <c r="H322" s="22">
        <f t="shared" ref="H322:H329" si="241">B322+I322</f>
        <v>391.66666666666669</v>
      </c>
      <c r="I322" s="8"/>
      <c r="J322" s="8"/>
    </row>
    <row r="323" spans="1:10" ht="17.100000000000001" customHeight="1">
      <c r="A323" s="57" t="s">
        <v>170</v>
      </c>
      <c r="B323" s="115">
        <f t="shared" si="239"/>
        <v>433.33333333333337</v>
      </c>
      <c r="C323" s="56">
        <v>520</v>
      </c>
      <c r="D323" s="55"/>
      <c r="E323" s="105">
        <v>112.3</v>
      </c>
      <c r="F323" s="109">
        <f t="shared" si="240"/>
        <v>48663.333333333336</v>
      </c>
      <c r="G323" s="41" t="s">
        <v>5</v>
      </c>
      <c r="H323" s="22">
        <f t="shared" si="241"/>
        <v>433.33333333333337</v>
      </c>
      <c r="I323" s="8"/>
      <c r="J323" s="8"/>
    </row>
    <row r="324" spans="1:10" ht="17.100000000000001" customHeight="1">
      <c r="A324" s="57" t="s">
        <v>197</v>
      </c>
      <c r="B324" s="115">
        <f t="shared" ref="B324" si="242">C324/1.2</f>
        <v>414.16666666666669</v>
      </c>
      <c r="C324" s="56">
        <v>497</v>
      </c>
      <c r="D324" s="55"/>
      <c r="E324" s="105">
        <v>6768.9</v>
      </c>
      <c r="F324" s="109">
        <f t="shared" ref="F324" si="243">E324*B324</f>
        <v>2803452.75</v>
      </c>
      <c r="G324" s="41" t="s">
        <v>5</v>
      </c>
      <c r="H324" s="22">
        <f t="shared" ref="H324" si="244">B324+I324</f>
        <v>414.16666666666669</v>
      </c>
      <c r="I324" s="8"/>
      <c r="J324" s="8"/>
    </row>
    <row r="325" spans="1:10" ht="17.100000000000001" hidden="1" customHeight="1">
      <c r="A325" s="57" t="s">
        <v>214</v>
      </c>
      <c r="B325" s="115">
        <f t="shared" ref="B325:B326" si="245">C325/1.2</f>
        <v>433.33333333333337</v>
      </c>
      <c r="C325" s="56">
        <v>520</v>
      </c>
      <c r="D325" s="55"/>
      <c r="E325" s="105"/>
      <c r="F325" s="109">
        <f t="shared" ref="F325:F326" si="246">E325*B325</f>
        <v>0</v>
      </c>
      <c r="G325" s="41" t="s">
        <v>5</v>
      </c>
      <c r="H325" s="22">
        <f t="shared" ref="H325:H326" si="247">B325+I325</f>
        <v>433.33333333333337</v>
      </c>
      <c r="I325" s="8"/>
      <c r="J325" s="8"/>
    </row>
    <row r="326" spans="1:10" ht="17.100000000000001" customHeight="1">
      <c r="A326" s="57" t="s">
        <v>231</v>
      </c>
      <c r="B326" s="115">
        <f t="shared" si="245"/>
        <v>416.66666666666669</v>
      </c>
      <c r="C326" s="56">
        <v>500</v>
      </c>
      <c r="D326" s="55"/>
      <c r="E326" s="105">
        <v>22.4</v>
      </c>
      <c r="F326" s="109">
        <f t="shared" si="246"/>
        <v>9333.3333333333339</v>
      </c>
      <c r="G326" s="41" t="s">
        <v>5</v>
      </c>
      <c r="H326" s="22">
        <f t="shared" si="247"/>
        <v>416.66666666666669</v>
      </c>
      <c r="I326" s="8"/>
      <c r="J326" s="8"/>
    </row>
    <row r="327" spans="1:10" ht="17.100000000000001" customHeight="1">
      <c r="A327" s="57" t="s">
        <v>256</v>
      </c>
      <c r="B327" s="115">
        <f t="shared" ref="B327" si="248">C327/1.2</f>
        <v>433.33333333333337</v>
      </c>
      <c r="C327" s="56">
        <v>520</v>
      </c>
      <c r="D327" s="55"/>
      <c r="E327" s="105">
        <v>102</v>
      </c>
      <c r="F327" s="109">
        <f t="shared" ref="F327" si="249">E327*B327</f>
        <v>44200.000000000007</v>
      </c>
      <c r="G327" s="41" t="s">
        <v>5</v>
      </c>
      <c r="H327" s="22">
        <f t="shared" ref="H327" si="250">B327+I327</f>
        <v>433.33333333333337</v>
      </c>
      <c r="I327" s="8"/>
      <c r="J327" s="8"/>
    </row>
    <row r="328" spans="1:10" ht="17.100000000000001" customHeight="1">
      <c r="A328" s="57" t="s">
        <v>115</v>
      </c>
      <c r="B328" s="115">
        <f>C328</f>
        <v>403</v>
      </c>
      <c r="C328" s="56">
        <v>403</v>
      </c>
      <c r="D328" s="8"/>
      <c r="E328" s="105">
        <v>474.8</v>
      </c>
      <c r="F328" s="109">
        <f t="shared" si="240"/>
        <v>191344.4</v>
      </c>
      <c r="G328" s="41" t="s">
        <v>5</v>
      </c>
      <c r="H328" s="22">
        <f t="shared" si="241"/>
        <v>1043</v>
      </c>
      <c r="I328" s="87">
        <v>640</v>
      </c>
      <c r="J328" s="8"/>
    </row>
    <row r="329" spans="1:10" ht="17.100000000000001" customHeight="1">
      <c r="A329" s="57" t="s">
        <v>243</v>
      </c>
      <c r="B329" s="115">
        <f t="shared" ref="B329:B331" si="251">C329/1.2</f>
        <v>433.33333333333337</v>
      </c>
      <c r="C329" s="56">
        <v>520</v>
      </c>
      <c r="D329" s="8"/>
      <c r="E329" s="105">
        <v>27.4</v>
      </c>
      <c r="F329" s="109">
        <f t="shared" si="240"/>
        <v>11873.333333333334</v>
      </c>
      <c r="G329" s="41" t="s">
        <v>5</v>
      </c>
      <c r="H329" s="22">
        <f t="shared" si="241"/>
        <v>433.33333333333337</v>
      </c>
      <c r="I329" s="87"/>
      <c r="J329" s="8"/>
    </row>
    <row r="330" spans="1:10" ht="17.100000000000001" customHeight="1">
      <c r="A330" s="57" t="s">
        <v>142</v>
      </c>
      <c r="B330" s="115">
        <f>F330/E330</f>
        <v>449.16666666666669</v>
      </c>
      <c r="C330" s="56">
        <f>B330*1.2</f>
        <v>539</v>
      </c>
      <c r="D330" s="55"/>
      <c r="E330" s="105">
        <v>476.4</v>
      </c>
      <c r="F330" s="109">
        <v>213983</v>
      </c>
      <c r="G330" s="41" t="s">
        <v>5</v>
      </c>
      <c r="H330" s="22">
        <f t="shared" ref="H330:H331" si="252">B330+I330</f>
        <v>449.16666666666669</v>
      </c>
      <c r="I330" s="8"/>
      <c r="J330" s="8"/>
    </row>
    <row r="331" spans="1:10" ht="17.100000000000001" customHeight="1">
      <c r="A331" s="57" t="s">
        <v>112</v>
      </c>
      <c r="B331" s="115">
        <f t="shared" si="251"/>
        <v>433.33333333333337</v>
      </c>
      <c r="C331" s="56">
        <v>520</v>
      </c>
      <c r="D331" s="55"/>
      <c r="E331" s="105">
        <v>51.1</v>
      </c>
      <c r="F331" s="109">
        <f t="shared" si="240"/>
        <v>22143.333333333336</v>
      </c>
      <c r="G331" s="41" t="s">
        <v>5</v>
      </c>
      <c r="H331" s="22">
        <f t="shared" si="252"/>
        <v>433.33333333333337</v>
      </c>
      <c r="I331" s="8"/>
      <c r="J331" s="8"/>
    </row>
    <row r="332" spans="1:10" ht="17.100000000000001" customHeight="1">
      <c r="A332" s="57" t="s">
        <v>64</v>
      </c>
      <c r="B332" s="115">
        <f>F332/E332</f>
        <v>356.02499169789837</v>
      </c>
      <c r="C332" s="56">
        <f>B332*1.2</f>
        <v>427.22999003747805</v>
      </c>
      <c r="D332" s="55"/>
      <c r="E332" s="105">
        <v>2107.9</v>
      </c>
      <c r="F332" s="109">
        <v>750465.08</v>
      </c>
      <c r="G332" s="41" t="s">
        <v>5</v>
      </c>
      <c r="H332" s="22">
        <f>B332+I332</f>
        <v>731.02499169789837</v>
      </c>
      <c r="I332" s="8">
        <f>450/1.2</f>
        <v>375</v>
      </c>
      <c r="J332" s="8"/>
    </row>
    <row r="333" spans="1:10" ht="17.100000000000001" hidden="1" customHeight="1">
      <c r="A333" s="57" t="s">
        <v>140</v>
      </c>
      <c r="B333" s="115">
        <f t="shared" si="239"/>
        <v>400</v>
      </c>
      <c r="C333" s="56">
        <v>480</v>
      </c>
      <c r="D333" s="55"/>
      <c r="E333" s="106"/>
      <c r="F333" s="109">
        <f t="shared" si="221"/>
        <v>0</v>
      </c>
      <c r="G333" s="41" t="s">
        <v>5</v>
      </c>
      <c r="H333" s="22">
        <f t="shared" si="222"/>
        <v>400</v>
      </c>
      <c r="I333" s="8"/>
      <c r="J333" s="8"/>
    </row>
    <row r="334" spans="1:10" ht="17.100000000000001" customHeight="1">
      <c r="A334" s="57" t="s">
        <v>35</v>
      </c>
      <c r="B334" s="115">
        <f t="shared" si="239"/>
        <v>400</v>
      </c>
      <c r="C334" s="56">
        <v>480</v>
      </c>
      <c r="D334" s="8"/>
      <c r="E334" s="105">
        <v>1157.9000000000001</v>
      </c>
      <c r="F334" s="109">
        <f t="shared" si="221"/>
        <v>463160.00000000006</v>
      </c>
      <c r="G334" s="41" t="s">
        <v>5</v>
      </c>
      <c r="H334" s="22">
        <f t="shared" si="222"/>
        <v>400</v>
      </c>
      <c r="I334" s="8"/>
      <c r="J334" s="8"/>
    </row>
    <row r="335" spans="1:10" ht="17.100000000000001" customHeight="1">
      <c r="A335" s="57" t="s">
        <v>150</v>
      </c>
      <c r="B335" s="115">
        <f t="shared" ref="B335:B336" si="253">C335/1.2</f>
        <v>433.33333333333337</v>
      </c>
      <c r="C335" s="56">
        <v>520</v>
      </c>
      <c r="D335" s="8"/>
      <c r="E335" s="105">
        <v>36.4</v>
      </c>
      <c r="F335" s="109">
        <f t="shared" ref="F335:F336" si="254">E335*B335</f>
        <v>15773.333333333334</v>
      </c>
      <c r="G335" s="41" t="s">
        <v>5</v>
      </c>
      <c r="H335" s="22">
        <f t="shared" ref="H335:H336" si="255">B335+I335</f>
        <v>433.33333333333337</v>
      </c>
      <c r="I335" s="8"/>
      <c r="J335" s="8"/>
    </row>
    <row r="336" spans="1:10" ht="17.100000000000001" hidden="1" customHeight="1">
      <c r="A336" s="57" t="s">
        <v>186</v>
      </c>
      <c r="B336" s="115">
        <f t="shared" si="253"/>
        <v>0</v>
      </c>
      <c r="C336" s="56"/>
      <c r="D336" s="8"/>
      <c r="E336" s="105"/>
      <c r="F336" s="109">
        <f t="shared" si="254"/>
        <v>0</v>
      </c>
      <c r="G336" s="41" t="s">
        <v>5</v>
      </c>
      <c r="H336" s="22">
        <f t="shared" si="255"/>
        <v>254.16666666666669</v>
      </c>
      <c r="I336" s="8">
        <f>305/1.2</f>
        <v>254.16666666666669</v>
      </c>
      <c r="J336" s="8"/>
    </row>
    <row r="337" spans="1:10" ht="16.5" customHeight="1">
      <c r="A337" s="57" t="s">
        <v>59</v>
      </c>
      <c r="B337" s="115">
        <f t="shared" si="239"/>
        <v>385.83333333333337</v>
      </c>
      <c r="C337" s="56">
        <f>438+25</f>
        <v>463</v>
      </c>
      <c r="D337" s="8"/>
      <c r="E337" s="105">
        <v>3833.1</v>
      </c>
      <c r="F337" s="109">
        <f t="shared" si="221"/>
        <v>1478937.75</v>
      </c>
      <c r="G337" s="41" t="s">
        <v>6</v>
      </c>
      <c r="H337" s="22">
        <f t="shared" si="222"/>
        <v>385.83333333333337</v>
      </c>
      <c r="I337" s="8"/>
      <c r="J337" s="8"/>
    </row>
    <row r="338" spans="1:10" ht="16.5" customHeight="1">
      <c r="A338" s="57" t="s">
        <v>154</v>
      </c>
      <c r="B338" s="115">
        <f t="shared" si="239"/>
        <v>433.33333333333337</v>
      </c>
      <c r="C338" s="56">
        <v>520</v>
      </c>
      <c r="D338" s="8"/>
      <c r="E338" s="105">
        <v>249.8</v>
      </c>
      <c r="F338" s="109">
        <f t="shared" si="221"/>
        <v>108246.66666666669</v>
      </c>
      <c r="G338" s="41" t="s">
        <v>5</v>
      </c>
      <c r="H338" s="22">
        <f t="shared" si="222"/>
        <v>433.33333333333337</v>
      </c>
      <c r="I338" s="8"/>
      <c r="J338" s="8"/>
    </row>
    <row r="339" spans="1:10" ht="16.5" customHeight="1">
      <c r="A339" s="57" t="s">
        <v>129</v>
      </c>
      <c r="B339" s="115">
        <f t="shared" si="239"/>
        <v>400</v>
      </c>
      <c r="C339" s="56">
        <v>480</v>
      </c>
      <c r="D339" s="8"/>
      <c r="E339" s="105">
        <v>691</v>
      </c>
      <c r="F339" s="109">
        <f t="shared" si="221"/>
        <v>276400</v>
      </c>
      <c r="G339" s="41" t="s">
        <v>5</v>
      </c>
      <c r="H339" s="22">
        <f t="shared" si="222"/>
        <v>400</v>
      </c>
      <c r="I339" s="8"/>
      <c r="J339" s="8"/>
    </row>
    <row r="340" spans="1:10" ht="17.100000000000001" customHeight="1">
      <c r="A340" s="57" t="s">
        <v>14</v>
      </c>
      <c r="B340" s="115">
        <f t="shared" si="239"/>
        <v>333.33333333333337</v>
      </c>
      <c r="C340" s="56">
        <v>400</v>
      </c>
      <c r="D340" s="8"/>
      <c r="E340" s="105">
        <v>9818.74</v>
      </c>
      <c r="F340" s="109">
        <f t="shared" si="221"/>
        <v>3272913.3333333335</v>
      </c>
      <c r="G340" s="41" t="s">
        <v>5</v>
      </c>
      <c r="H340" s="22">
        <f t="shared" si="222"/>
        <v>333.33333333333337</v>
      </c>
      <c r="I340" s="2"/>
      <c r="J340" s="8"/>
    </row>
    <row r="341" spans="1:10" ht="17.100000000000001" customHeight="1">
      <c r="A341" s="57" t="s">
        <v>200</v>
      </c>
      <c r="B341" s="115">
        <f t="shared" si="239"/>
        <v>425</v>
      </c>
      <c r="C341" s="56">
        <v>510</v>
      </c>
      <c r="D341" s="8"/>
      <c r="E341" s="105">
        <v>37.9</v>
      </c>
      <c r="F341" s="109">
        <f t="shared" si="221"/>
        <v>16107.5</v>
      </c>
      <c r="G341" s="41" t="s">
        <v>5</v>
      </c>
      <c r="H341" s="22">
        <f t="shared" si="222"/>
        <v>425</v>
      </c>
      <c r="I341" s="8"/>
      <c r="J341" s="8"/>
    </row>
    <row r="342" spans="1:10" ht="17.100000000000001" customHeight="1">
      <c r="A342" s="57" t="s">
        <v>157</v>
      </c>
      <c r="B342" s="115">
        <f>C342</f>
        <v>503</v>
      </c>
      <c r="C342" s="56">
        <v>503</v>
      </c>
      <c r="D342" s="8"/>
      <c r="E342" s="105">
        <v>68.2</v>
      </c>
      <c r="F342" s="109">
        <f t="shared" si="221"/>
        <v>34304.6</v>
      </c>
      <c r="G342" s="41" t="s">
        <v>5</v>
      </c>
      <c r="H342" s="22">
        <f t="shared" ref="H342" si="256">B342+I342</f>
        <v>1130</v>
      </c>
      <c r="I342" s="8">
        <v>627</v>
      </c>
      <c r="J342" s="8"/>
    </row>
    <row r="343" spans="1:10" ht="17.100000000000001" hidden="1" customHeight="1">
      <c r="A343" s="57" t="s">
        <v>169</v>
      </c>
      <c r="B343" s="115">
        <f t="shared" si="239"/>
        <v>433.33333333333337</v>
      </c>
      <c r="C343" s="56">
        <v>520</v>
      </c>
      <c r="D343" s="8"/>
      <c r="E343" s="105"/>
      <c r="F343" s="109">
        <f t="shared" si="221"/>
        <v>0</v>
      </c>
      <c r="G343" s="41" t="s">
        <v>5</v>
      </c>
      <c r="H343" s="22">
        <f t="shared" si="222"/>
        <v>433.33333333333337</v>
      </c>
      <c r="I343" s="8"/>
      <c r="J343" s="8"/>
    </row>
    <row r="344" spans="1:10" ht="17.100000000000001" hidden="1" customHeight="1">
      <c r="A344" s="57" t="s">
        <v>191</v>
      </c>
      <c r="B344" s="115" t="e">
        <f>F344/E344</f>
        <v>#DIV/0!</v>
      </c>
      <c r="C344" s="56" t="e">
        <f>B344*1.2</f>
        <v>#DIV/0!</v>
      </c>
      <c r="D344" s="55"/>
      <c r="E344" s="105"/>
      <c r="F344" s="109"/>
      <c r="G344" s="41" t="s">
        <v>5</v>
      </c>
      <c r="H344" s="22" t="e">
        <f t="shared" ref="H344" si="257">B344+I344</f>
        <v>#DIV/0!</v>
      </c>
      <c r="I344" s="8">
        <f>370/1.2</f>
        <v>308.33333333333337</v>
      </c>
      <c r="J344" s="8"/>
    </row>
    <row r="345" spans="1:10" ht="17.100000000000001" customHeight="1">
      <c r="A345" s="57" t="s">
        <v>238</v>
      </c>
      <c r="B345" s="115">
        <f>F345/E345</f>
        <v>428.19314641744552</v>
      </c>
      <c r="C345" s="56">
        <f>B345*1.2</f>
        <v>513.8317757009346</v>
      </c>
      <c r="D345" s="55"/>
      <c r="E345" s="105">
        <v>96.3</v>
      </c>
      <c r="F345" s="109">
        <v>41235</v>
      </c>
      <c r="G345" s="41" t="s">
        <v>5</v>
      </c>
      <c r="H345" s="22">
        <f>B345+I345</f>
        <v>428.19314641744552</v>
      </c>
      <c r="I345" s="8"/>
      <c r="J345" s="8"/>
    </row>
    <row r="346" spans="1:10" ht="17.100000000000001" customHeight="1">
      <c r="A346" s="57" t="s">
        <v>247</v>
      </c>
      <c r="B346" s="115">
        <f>F346/E346</f>
        <v>341.66666731189866</v>
      </c>
      <c r="C346" s="56">
        <f>B346*1.2</f>
        <v>410.00000077427836</v>
      </c>
      <c r="D346" s="55"/>
      <c r="E346" s="105">
        <v>5166.1000000000004</v>
      </c>
      <c r="F346" s="109">
        <v>1765084.17</v>
      </c>
      <c r="G346" s="41" t="s">
        <v>5</v>
      </c>
      <c r="H346" s="22">
        <f>B346+I346</f>
        <v>341.66666731189866</v>
      </c>
      <c r="I346" s="8"/>
      <c r="J346" s="8"/>
    </row>
    <row r="347" spans="1:10" ht="17.100000000000001" customHeight="1">
      <c r="A347" s="57" t="s">
        <v>213</v>
      </c>
      <c r="B347" s="115">
        <f>F347/E347</f>
        <v>402.11291672895806</v>
      </c>
      <c r="C347" s="56">
        <f>B347*1.2</f>
        <v>482.53550007474962</v>
      </c>
      <c r="D347" s="55"/>
      <c r="E347" s="105">
        <v>668.9</v>
      </c>
      <c r="F347" s="109">
        <v>268973.33</v>
      </c>
      <c r="G347" s="41" t="s">
        <v>5</v>
      </c>
      <c r="H347" s="22">
        <f>B347+I347</f>
        <v>402.11291672895806</v>
      </c>
      <c r="I347" s="8"/>
      <c r="J347" s="8"/>
    </row>
    <row r="348" spans="1:10" ht="17.100000000000001" customHeight="1">
      <c r="A348" s="57" t="s">
        <v>54</v>
      </c>
      <c r="B348" s="115">
        <f t="shared" ref="B348:B349" si="258">C348/1.2</f>
        <v>383.33333333333337</v>
      </c>
      <c r="C348" s="56">
        <v>460</v>
      </c>
      <c r="D348" s="8"/>
      <c r="E348" s="105">
        <v>778.3</v>
      </c>
      <c r="F348" s="109">
        <f t="shared" ref="F348:F349" si="259">E348*B348</f>
        <v>298348.33333333337</v>
      </c>
      <c r="G348" s="41" t="s">
        <v>5</v>
      </c>
      <c r="H348" s="22">
        <f t="shared" ref="H348:H349" si="260">B348+I348</f>
        <v>383.33333333333337</v>
      </c>
      <c r="I348" s="2"/>
      <c r="J348" s="8"/>
    </row>
    <row r="349" spans="1:10" ht="17.100000000000001" customHeight="1">
      <c r="A349" s="57" t="s">
        <v>61</v>
      </c>
      <c r="B349" s="115">
        <f t="shared" si="258"/>
        <v>400</v>
      </c>
      <c r="C349" s="56">
        <v>480</v>
      </c>
      <c r="D349" s="8"/>
      <c r="E349" s="105">
        <v>223.1</v>
      </c>
      <c r="F349" s="109">
        <f t="shared" si="259"/>
        <v>89240</v>
      </c>
      <c r="G349" s="41" t="s">
        <v>5</v>
      </c>
      <c r="H349" s="22">
        <f t="shared" si="260"/>
        <v>400</v>
      </c>
      <c r="I349" s="2"/>
      <c r="J349" s="8"/>
    </row>
    <row r="350" spans="1:10" ht="17.100000000000001" hidden="1" customHeight="1">
      <c r="A350" s="57" t="s">
        <v>55</v>
      </c>
      <c r="B350" s="115">
        <f t="shared" ref="B350" si="261">C350/1.2</f>
        <v>800</v>
      </c>
      <c r="C350" s="56">
        <v>960</v>
      </c>
      <c r="D350" s="8"/>
      <c r="E350" s="105"/>
      <c r="F350" s="109">
        <f t="shared" ref="F350" si="262">E350*B350</f>
        <v>0</v>
      </c>
      <c r="G350" s="41" t="s">
        <v>5</v>
      </c>
      <c r="H350" s="22">
        <f t="shared" ref="H350" si="263">B350+I350</f>
        <v>1516.6666666666667</v>
      </c>
      <c r="I350" s="8">
        <f>860/1.2</f>
        <v>716.66666666666674</v>
      </c>
      <c r="J350" s="8"/>
    </row>
    <row r="351" spans="1:10" ht="17.100000000000001" hidden="1" customHeight="1">
      <c r="A351" s="57" t="s">
        <v>28</v>
      </c>
      <c r="B351" s="115">
        <f t="shared" si="239"/>
        <v>433.33333333333337</v>
      </c>
      <c r="C351" s="56">
        <v>520</v>
      </c>
      <c r="D351" s="8"/>
      <c r="E351" s="105"/>
      <c r="F351" s="109">
        <f t="shared" si="221"/>
        <v>0</v>
      </c>
      <c r="G351" s="41" t="s">
        <v>5</v>
      </c>
      <c r="H351" s="22">
        <f t="shared" si="222"/>
        <v>433.33333333333337</v>
      </c>
      <c r="I351" s="2"/>
      <c r="J351" s="8"/>
    </row>
    <row r="352" spans="1:10" ht="17.100000000000001" hidden="1" customHeight="1">
      <c r="A352" s="57" t="s">
        <v>39</v>
      </c>
      <c r="B352" s="115">
        <f t="shared" ref="B352" si="264">C352/1.2</f>
        <v>425</v>
      </c>
      <c r="C352" s="56">
        <v>510</v>
      </c>
      <c r="D352" s="55"/>
      <c r="E352" s="105"/>
      <c r="F352" s="109">
        <f t="shared" ref="F352" si="265">E352*B352</f>
        <v>0</v>
      </c>
      <c r="G352" s="41" t="s">
        <v>5</v>
      </c>
      <c r="H352" s="22">
        <f t="shared" ref="H352" si="266">B352+I352</f>
        <v>425</v>
      </c>
      <c r="I352" s="8"/>
      <c r="J352" s="8"/>
    </row>
    <row r="353" spans="1:10" ht="17.100000000000001" customHeight="1">
      <c r="A353" s="57" t="s">
        <v>91</v>
      </c>
      <c r="B353" s="115">
        <f t="shared" si="239"/>
        <v>400</v>
      </c>
      <c r="C353" s="56">
        <v>480</v>
      </c>
      <c r="D353" s="55"/>
      <c r="E353" s="105">
        <v>73.5</v>
      </c>
      <c r="F353" s="109">
        <f t="shared" si="221"/>
        <v>29400</v>
      </c>
      <c r="G353" s="41" t="s">
        <v>5</v>
      </c>
      <c r="H353" s="22">
        <f t="shared" si="222"/>
        <v>400</v>
      </c>
      <c r="I353" s="8"/>
      <c r="J353" s="8"/>
    </row>
    <row r="354" spans="1:10" ht="17.100000000000001" hidden="1" customHeight="1">
      <c r="A354" s="57" t="s">
        <v>99</v>
      </c>
      <c r="B354" s="115">
        <f t="shared" si="239"/>
        <v>433.33333333333337</v>
      </c>
      <c r="C354" s="56">
        <v>520</v>
      </c>
      <c r="D354" s="55"/>
      <c r="E354" s="105"/>
      <c r="F354" s="109">
        <f t="shared" si="221"/>
        <v>0</v>
      </c>
      <c r="G354" s="41" t="s">
        <v>5</v>
      </c>
      <c r="H354" s="22">
        <f t="shared" si="222"/>
        <v>433.33333333333337</v>
      </c>
      <c r="I354" s="8"/>
      <c r="J354" s="8"/>
    </row>
    <row r="355" spans="1:10" ht="17.100000000000001" customHeight="1">
      <c r="A355" s="57" t="s">
        <v>23</v>
      </c>
      <c r="B355" s="115">
        <f>F355/E355</f>
        <v>374.77431492185821</v>
      </c>
      <c r="C355" s="56">
        <f>B355*1.2</f>
        <v>449.72917790622984</v>
      </c>
      <c r="D355" s="55"/>
      <c r="E355" s="105">
        <v>1868.4</v>
      </c>
      <c r="F355" s="109">
        <v>700228.33</v>
      </c>
      <c r="G355" s="41" t="s">
        <v>5</v>
      </c>
      <c r="H355" s="22">
        <f t="shared" ref="H355:H358" si="267">B355+I355</f>
        <v>374.77431492185821</v>
      </c>
      <c r="I355" s="8"/>
      <c r="J355" s="8"/>
    </row>
    <row r="356" spans="1:10" ht="17.100000000000001" hidden="1" customHeight="1">
      <c r="A356" s="57" t="s">
        <v>84</v>
      </c>
      <c r="B356" s="115">
        <f t="shared" ref="B356:B357" si="268">C356/1.2</f>
        <v>377.5</v>
      </c>
      <c r="C356" s="56">
        <v>453</v>
      </c>
      <c r="D356" s="8"/>
      <c r="E356" s="105"/>
      <c r="F356" s="109">
        <f t="shared" si="221"/>
        <v>0</v>
      </c>
      <c r="G356" s="41" t="s">
        <v>5</v>
      </c>
      <c r="H356" s="22">
        <f t="shared" si="267"/>
        <v>687.5</v>
      </c>
      <c r="I356" s="8">
        <f>372/1.2</f>
        <v>310</v>
      </c>
      <c r="J356" s="8"/>
    </row>
    <row r="357" spans="1:10" ht="17.100000000000001" customHeight="1">
      <c r="A357" s="57" t="s">
        <v>215</v>
      </c>
      <c r="B357" s="115">
        <f t="shared" si="268"/>
        <v>416.66666666666669</v>
      </c>
      <c r="C357" s="56">
        <v>500</v>
      </c>
      <c r="D357" s="8"/>
      <c r="E357" s="105">
        <v>96.4</v>
      </c>
      <c r="F357" s="109">
        <f t="shared" si="221"/>
        <v>40166.666666666672</v>
      </c>
      <c r="G357" s="41" t="s">
        <v>5</v>
      </c>
      <c r="H357" s="22">
        <f t="shared" si="267"/>
        <v>416.66666666666669</v>
      </c>
      <c r="I357" s="8"/>
      <c r="J357" s="190"/>
    </row>
    <row r="358" spans="1:10" ht="17.100000000000001" hidden="1" customHeight="1">
      <c r="A358" s="57" t="s">
        <v>155</v>
      </c>
      <c r="B358" s="115">
        <f>C358</f>
        <v>437</v>
      </c>
      <c r="C358" s="56">
        <v>437</v>
      </c>
      <c r="D358" s="8"/>
      <c r="E358" s="105"/>
      <c r="F358" s="109">
        <f t="shared" si="221"/>
        <v>0</v>
      </c>
      <c r="G358" s="41" t="s">
        <v>5</v>
      </c>
      <c r="H358" s="22">
        <f t="shared" si="267"/>
        <v>990</v>
      </c>
      <c r="I358" s="8">
        <v>553</v>
      </c>
      <c r="J358" s="7"/>
    </row>
    <row r="359" spans="1:10" ht="17.100000000000001" customHeight="1">
      <c r="A359" s="57" t="s">
        <v>42</v>
      </c>
      <c r="B359" s="115">
        <f t="shared" ref="B359:B362" si="269">C359/1.2</f>
        <v>433.33333333333337</v>
      </c>
      <c r="C359" s="56">
        <v>520</v>
      </c>
      <c r="D359" s="8"/>
      <c r="E359" s="105">
        <v>204.9</v>
      </c>
      <c r="F359" s="109">
        <f t="shared" ref="F359:F362" si="270">E359*B359</f>
        <v>88790.000000000015</v>
      </c>
      <c r="G359" s="41" t="s">
        <v>5</v>
      </c>
      <c r="H359" s="22">
        <f t="shared" ref="H359:H362" si="271">B359+I359</f>
        <v>433.33333333333337</v>
      </c>
      <c r="I359" s="8"/>
      <c r="J359" s="7"/>
    </row>
    <row r="360" spans="1:10" ht="17.100000000000001" customHeight="1">
      <c r="A360" s="57" t="s">
        <v>203</v>
      </c>
      <c r="B360" s="115">
        <f>C360/1.2</f>
        <v>433.33333333333337</v>
      </c>
      <c r="C360" s="56">
        <v>520</v>
      </c>
      <c r="D360" s="8"/>
      <c r="E360" s="105">
        <v>151.30000000000001</v>
      </c>
      <c r="F360" s="109">
        <f t="shared" si="270"/>
        <v>65563.333333333343</v>
      </c>
      <c r="G360" s="41" t="s">
        <v>5</v>
      </c>
      <c r="H360" s="22">
        <f t="shared" si="271"/>
        <v>433.33333333333337</v>
      </c>
      <c r="I360" s="8"/>
      <c r="J360" s="7"/>
    </row>
    <row r="361" spans="1:10" ht="17.100000000000001" customHeight="1">
      <c r="A361" s="57" t="s">
        <v>15</v>
      </c>
      <c r="B361" s="115">
        <f t="shared" si="269"/>
        <v>425</v>
      </c>
      <c r="C361" s="56">
        <v>510</v>
      </c>
      <c r="D361" s="8"/>
      <c r="E361" s="105">
        <v>91.6</v>
      </c>
      <c r="F361" s="109">
        <f t="shared" si="270"/>
        <v>38930</v>
      </c>
      <c r="G361" s="41" t="s">
        <v>5</v>
      </c>
      <c r="H361" s="22">
        <f t="shared" si="271"/>
        <v>425</v>
      </c>
      <c r="I361" s="8"/>
      <c r="J361" s="7"/>
    </row>
    <row r="362" spans="1:10" ht="17.100000000000001" customHeight="1">
      <c r="A362" s="57" t="s">
        <v>273</v>
      </c>
      <c r="B362" s="115">
        <f t="shared" si="269"/>
        <v>433.33333333333337</v>
      </c>
      <c r="C362" s="56">
        <v>520</v>
      </c>
      <c r="D362" s="8"/>
      <c r="E362" s="105">
        <v>47.6</v>
      </c>
      <c r="F362" s="109">
        <f t="shared" si="270"/>
        <v>20626.666666666668</v>
      </c>
      <c r="G362" s="41" t="s">
        <v>5</v>
      </c>
      <c r="H362" s="22">
        <f t="shared" si="271"/>
        <v>433.33333333333337</v>
      </c>
      <c r="I362" s="8"/>
      <c r="J362" s="7"/>
    </row>
    <row r="363" spans="1:10" ht="17.100000000000001" customHeight="1">
      <c r="A363" s="57" t="s">
        <v>253</v>
      </c>
      <c r="B363" s="115">
        <f>C363</f>
        <v>1007</v>
      </c>
      <c r="C363" s="56">
        <v>1007</v>
      </c>
      <c r="D363" s="55"/>
      <c r="E363" s="105">
        <v>403.1</v>
      </c>
      <c r="F363" s="109">
        <f t="shared" si="221"/>
        <v>405921.7</v>
      </c>
      <c r="G363" s="41" t="s">
        <v>5</v>
      </c>
      <c r="H363" s="22">
        <f t="shared" ref="H363:H368" si="272">B363+I363</f>
        <v>1650</v>
      </c>
      <c r="I363" s="8">
        <v>643</v>
      </c>
      <c r="J363" s="7"/>
    </row>
    <row r="364" spans="1:10" ht="17.100000000000001" customHeight="1">
      <c r="A364" s="57" t="s">
        <v>240</v>
      </c>
      <c r="B364" s="115">
        <f t="shared" ref="B364:B368" si="273">C364/1.2</f>
        <v>416.66666666666669</v>
      </c>
      <c r="C364" s="56">
        <v>500</v>
      </c>
      <c r="D364" s="55"/>
      <c r="E364" s="105">
        <v>50</v>
      </c>
      <c r="F364" s="109">
        <f t="shared" si="221"/>
        <v>20833.333333333336</v>
      </c>
      <c r="G364" s="41" t="s">
        <v>5</v>
      </c>
      <c r="H364" s="22">
        <f t="shared" si="272"/>
        <v>416.66666666666669</v>
      </c>
      <c r="I364" s="8"/>
      <c r="J364" s="7"/>
    </row>
    <row r="365" spans="1:10" ht="17.100000000000001" customHeight="1">
      <c r="A365" s="57" t="s">
        <v>117</v>
      </c>
      <c r="B365" s="115">
        <f>F365/E365</f>
        <v>391.66664031620553</v>
      </c>
      <c r="C365" s="56">
        <f>B365*1.2</f>
        <v>469.99996837944661</v>
      </c>
      <c r="D365" s="55"/>
      <c r="E365" s="105">
        <v>126.5</v>
      </c>
      <c r="F365" s="109">
        <v>49545.83</v>
      </c>
      <c r="G365" s="41" t="s">
        <v>5</v>
      </c>
      <c r="H365" s="22">
        <f t="shared" si="272"/>
        <v>391.66664031620553</v>
      </c>
      <c r="I365" s="8"/>
      <c r="J365" s="7"/>
    </row>
    <row r="366" spans="1:10" ht="17.100000000000001" customHeight="1">
      <c r="A366" s="57" t="s">
        <v>209</v>
      </c>
      <c r="B366" s="115">
        <f t="shared" ref="B366" si="274">C366/1.2</f>
        <v>400</v>
      </c>
      <c r="C366" s="56">
        <v>480</v>
      </c>
      <c r="D366" s="8"/>
      <c r="E366" s="105">
        <v>77.2</v>
      </c>
      <c r="F366" s="109">
        <f t="shared" ref="F366" si="275">E366*B366</f>
        <v>30880</v>
      </c>
      <c r="G366" s="41" t="s">
        <v>5</v>
      </c>
      <c r="H366" s="22">
        <f t="shared" si="272"/>
        <v>400</v>
      </c>
      <c r="I366" s="8"/>
      <c r="J366" s="7"/>
    </row>
    <row r="367" spans="1:10" ht="17.100000000000001" hidden="1" customHeight="1">
      <c r="A367" s="57" t="s">
        <v>125</v>
      </c>
      <c r="B367" s="115">
        <f t="shared" ref="B367" si="276">C367/1.2</f>
        <v>433.33333333333337</v>
      </c>
      <c r="C367" s="56">
        <v>520</v>
      </c>
      <c r="D367" s="8"/>
      <c r="E367" s="105"/>
      <c r="F367" s="109">
        <f t="shared" si="221"/>
        <v>0</v>
      </c>
      <c r="G367" s="41" t="s">
        <v>5</v>
      </c>
      <c r="H367" s="22">
        <f t="shared" ref="H367" si="277">B367+I367</f>
        <v>433.33333333333337</v>
      </c>
      <c r="I367" s="8"/>
      <c r="J367" s="7"/>
    </row>
    <row r="368" spans="1:10" ht="17.100000000000001" hidden="1" customHeight="1">
      <c r="A368" s="57" t="s">
        <v>152</v>
      </c>
      <c r="B368" s="115">
        <f t="shared" si="273"/>
        <v>416.66666666666669</v>
      </c>
      <c r="C368" s="56">
        <v>500</v>
      </c>
      <c r="D368" s="8"/>
      <c r="E368" s="105"/>
      <c r="F368" s="109">
        <f t="shared" si="221"/>
        <v>0</v>
      </c>
      <c r="G368" s="41" t="s">
        <v>5</v>
      </c>
      <c r="H368" s="22">
        <f t="shared" si="272"/>
        <v>416.66666666666669</v>
      </c>
      <c r="I368" s="8"/>
      <c r="J368" s="7"/>
    </row>
    <row r="369" spans="1:10" ht="17.100000000000001" hidden="1" customHeight="1">
      <c r="A369" s="57" t="s">
        <v>36</v>
      </c>
      <c r="B369" s="115">
        <f t="shared" ref="B369" si="278">C369/1.2</f>
        <v>425</v>
      </c>
      <c r="C369" s="56">
        <v>510</v>
      </c>
      <c r="D369" s="55"/>
      <c r="E369" s="105"/>
      <c r="F369" s="109">
        <f t="shared" si="221"/>
        <v>0</v>
      </c>
      <c r="G369" s="41" t="s">
        <v>5</v>
      </c>
      <c r="H369" s="22">
        <f t="shared" ref="H369:H370" si="279">B369+I369</f>
        <v>425</v>
      </c>
      <c r="I369" s="8"/>
      <c r="J369" s="7"/>
    </row>
    <row r="370" spans="1:10" ht="17.100000000000001" hidden="1" customHeight="1">
      <c r="A370" s="57" t="s">
        <v>44</v>
      </c>
      <c r="B370" s="115">
        <f t="shared" ref="B370:B382" si="280">C370/1.2</f>
        <v>425</v>
      </c>
      <c r="C370" s="56">
        <v>510</v>
      </c>
      <c r="D370" s="55"/>
      <c r="E370" s="105"/>
      <c r="F370" s="109">
        <f t="shared" si="221"/>
        <v>0</v>
      </c>
      <c r="G370" s="41" t="s">
        <v>5</v>
      </c>
      <c r="H370" s="22">
        <f t="shared" si="279"/>
        <v>425</v>
      </c>
      <c r="I370" s="8"/>
      <c r="J370" s="7"/>
    </row>
    <row r="371" spans="1:10" ht="17.100000000000001" customHeight="1">
      <c r="A371" s="57" t="s">
        <v>165</v>
      </c>
      <c r="B371" s="115">
        <f t="shared" ref="B371:B377" si="281">C371/1.2</f>
        <v>433.33333333333337</v>
      </c>
      <c r="C371" s="56">
        <v>520</v>
      </c>
      <c r="D371" s="55"/>
      <c r="E371" s="105">
        <v>691</v>
      </c>
      <c r="F371" s="109">
        <f t="shared" si="221"/>
        <v>299433.33333333337</v>
      </c>
      <c r="G371" s="41" t="s">
        <v>5</v>
      </c>
      <c r="H371" s="22">
        <f t="shared" ref="H371:H372" si="282">B371+I371</f>
        <v>433.33333333333337</v>
      </c>
      <c r="I371" s="8"/>
      <c r="J371" s="7"/>
    </row>
    <row r="372" spans="1:10" ht="17.100000000000001" hidden="1" customHeight="1">
      <c r="A372" s="57" t="s">
        <v>122</v>
      </c>
      <c r="B372" s="115">
        <f t="shared" si="281"/>
        <v>433.33333333333337</v>
      </c>
      <c r="C372" s="56">
        <v>520</v>
      </c>
      <c r="D372" s="55"/>
      <c r="E372" s="105"/>
      <c r="F372" s="109">
        <f t="shared" si="221"/>
        <v>0</v>
      </c>
      <c r="G372" s="41" t="s">
        <v>5</v>
      </c>
      <c r="H372" s="22">
        <f t="shared" si="282"/>
        <v>433.33333333333337</v>
      </c>
      <c r="I372" s="8"/>
      <c r="J372" s="7"/>
    </row>
    <row r="373" spans="1:10" ht="17.100000000000001" customHeight="1">
      <c r="A373" s="57" t="s">
        <v>18</v>
      </c>
      <c r="B373" s="115">
        <f t="shared" si="281"/>
        <v>433.33333333333337</v>
      </c>
      <c r="C373" s="56">
        <v>520</v>
      </c>
      <c r="D373" s="8"/>
      <c r="E373" s="105">
        <v>340.6</v>
      </c>
      <c r="F373" s="109">
        <f t="shared" ref="F373:F377" si="283">E373*B373</f>
        <v>147593.33333333334</v>
      </c>
      <c r="G373" s="41" t="s">
        <v>5</v>
      </c>
      <c r="H373" s="22">
        <f t="shared" ref="H373:H377" si="284">B373+I373</f>
        <v>433.33333333333337</v>
      </c>
      <c r="I373" s="8"/>
      <c r="J373" s="7"/>
    </row>
    <row r="374" spans="1:10" ht="17.100000000000001" customHeight="1">
      <c r="A374" s="57" t="s">
        <v>188</v>
      </c>
      <c r="B374" s="115">
        <f t="shared" si="281"/>
        <v>433.33333333333337</v>
      </c>
      <c r="C374" s="56">
        <v>520</v>
      </c>
      <c r="D374" s="8"/>
      <c r="E374" s="105">
        <v>229.4</v>
      </c>
      <c r="F374" s="109">
        <f t="shared" si="283"/>
        <v>99406.666666666672</v>
      </c>
      <c r="G374" s="41" t="s">
        <v>5</v>
      </c>
      <c r="H374" s="22">
        <f t="shared" si="284"/>
        <v>433.33333333333337</v>
      </c>
      <c r="I374" s="8"/>
      <c r="J374" s="7"/>
    </row>
    <row r="375" spans="1:10" ht="17.100000000000001" customHeight="1">
      <c r="A375" s="57" t="s">
        <v>207</v>
      </c>
      <c r="B375" s="115">
        <f t="shared" si="281"/>
        <v>433.33333333333337</v>
      </c>
      <c r="C375" s="56">
        <v>520</v>
      </c>
      <c r="D375" s="8"/>
      <c r="E375" s="105">
        <v>53.8</v>
      </c>
      <c r="F375" s="109">
        <f t="shared" si="283"/>
        <v>23313.333333333336</v>
      </c>
      <c r="G375" s="41" t="s">
        <v>5</v>
      </c>
      <c r="H375" s="22">
        <f t="shared" si="284"/>
        <v>433.33333333333337</v>
      </c>
      <c r="I375" s="8"/>
      <c r="J375" s="7"/>
    </row>
    <row r="376" spans="1:10" ht="17.100000000000001" customHeight="1">
      <c r="A376" s="57" t="s">
        <v>220</v>
      </c>
      <c r="B376" s="115">
        <f t="shared" si="281"/>
        <v>433.33333333333337</v>
      </c>
      <c r="C376" s="56">
        <v>520</v>
      </c>
      <c r="D376" s="8"/>
      <c r="E376" s="105">
        <v>44.1</v>
      </c>
      <c r="F376" s="109">
        <f t="shared" si="283"/>
        <v>19110.000000000004</v>
      </c>
      <c r="G376" s="41" t="s">
        <v>5</v>
      </c>
      <c r="H376" s="22">
        <f t="shared" si="284"/>
        <v>433.33333333333337</v>
      </c>
      <c r="I376" s="8"/>
      <c r="J376" s="7"/>
    </row>
    <row r="377" spans="1:10" ht="17.100000000000001" hidden="1" customHeight="1">
      <c r="A377" s="57" t="s">
        <v>143</v>
      </c>
      <c r="B377" s="115">
        <f t="shared" si="281"/>
        <v>416.66666666666669</v>
      </c>
      <c r="C377" s="56">
        <v>500</v>
      </c>
      <c r="D377" s="8"/>
      <c r="E377" s="105"/>
      <c r="F377" s="109">
        <f t="shared" si="283"/>
        <v>0</v>
      </c>
      <c r="G377" s="41" t="s">
        <v>5</v>
      </c>
      <c r="H377" s="22">
        <f t="shared" si="284"/>
        <v>416.66666666666669</v>
      </c>
      <c r="I377" s="8"/>
      <c r="J377" s="7"/>
    </row>
    <row r="378" spans="1:10" ht="17.100000000000001" customHeight="1">
      <c r="A378" s="57" t="s">
        <v>85</v>
      </c>
      <c r="B378" s="115">
        <f t="shared" ref="B378" si="285">C378/1.2</f>
        <v>433.33333333333337</v>
      </c>
      <c r="C378" s="56">
        <v>520</v>
      </c>
      <c r="D378" s="8"/>
      <c r="E378" s="105">
        <v>240.8</v>
      </c>
      <c r="F378" s="109">
        <f t="shared" ref="F378" si="286">E378*B378</f>
        <v>104346.66666666669</v>
      </c>
      <c r="G378" s="41" t="s">
        <v>5</v>
      </c>
      <c r="H378" s="22">
        <f t="shared" ref="H378" si="287">B378+I378</f>
        <v>433.33333333333337</v>
      </c>
      <c r="I378" s="8"/>
      <c r="J378" s="7"/>
    </row>
    <row r="379" spans="1:10" ht="17.100000000000001" hidden="1" customHeight="1">
      <c r="A379" s="57" t="s">
        <v>86</v>
      </c>
      <c r="B379" s="115">
        <f t="shared" si="280"/>
        <v>460</v>
      </c>
      <c r="C379" s="56">
        <v>552</v>
      </c>
      <c r="D379" s="55"/>
      <c r="E379" s="105"/>
      <c r="F379" s="109">
        <f t="shared" si="221"/>
        <v>0</v>
      </c>
      <c r="G379" s="41" t="s">
        <v>5</v>
      </c>
      <c r="H379" s="22">
        <f t="shared" ref="H379:H387" si="288">B379+I379</f>
        <v>750</v>
      </c>
      <c r="I379" s="8">
        <f>348/1.2</f>
        <v>290</v>
      </c>
      <c r="J379" s="7"/>
    </row>
    <row r="380" spans="1:10" ht="17.100000000000001" customHeight="1">
      <c r="A380" s="57" t="s">
        <v>131</v>
      </c>
      <c r="B380" s="115">
        <f t="shared" si="280"/>
        <v>433.33333333333337</v>
      </c>
      <c r="C380" s="56">
        <v>520</v>
      </c>
      <c r="D380" s="55"/>
      <c r="E380" s="105">
        <v>34.1</v>
      </c>
      <c r="F380" s="109">
        <f t="shared" si="221"/>
        <v>14776.666666666668</v>
      </c>
      <c r="G380" s="41" t="s">
        <v>5</v>
      </c>
      <c r="H380" s="22">
        <f t="shared" ref="H380" si="289">B380+I380</f>
        <v>433.33333333333337</v>
      </c>
      <c r="I380" s="8"/>
      <c r="J380" s="7"/>
    </row>
    <row r="381" spans="1:10" ht="17.100000000000001" customHeight="1">
      <c r="A381" s="57" t="s">
        <v>160</v>
      </c>
      <c r="B381" s="115">
        <f t="shared" si="280"/>
        <v>433.33333333333337</v>
      </c>
      <c r="C381" s="56">
        <v>520</v>
      </c>
      <c r="D381" s="55"/>
      <c r="E381" s="105">
        <v>25</v>
      </c>
      <c r="F381" s="109">
        <f t="shared" si="221"/>
        <v>10833.333333333334</v>
      </c>
      <c r="G381" s="41" t="s">
        <v>5</v>
      </c>
      <c r="H381" s="22">
        <f t="shared" si="288"/>
        <v>433.33333333333337</v>
      </c>
      <c r="I381" s="8"/>
      <c r="J381" s="7"/>
    </row>
    <row r="382" spans="1:10" ht="17.100000000000001" hidden="1" customHeight="1">
      <c r="A382" s="57" t="s">
        <v>53</v>
      </c>
      <c r="B382" s="115">
        <f t="shared" si="280"/>
        <v>433.33333333333337</v>
      </c>
      <c r="C382" s="56">
        <v>520</v>
      </c>
      <c r="D382" s="55"/>
      <c r="E382" s="105"/>
      <c r="F382" s="109">
        <f t="shared" si="221"/>
        <v>0</v>
      </c>
      <c r="G382" s="41" t="s">
        <v>5</v>
      </c>
      <c r="H382" s="22">
        <f t="shared" si="288"/>
        <v>433.33333333333337</v>
      </c>
      <c r="I382" s="8"/>
      <c r="J382" s="7"/>
    </row>
    <row r="383" spans="1:10" ht="17.100000000000001" customHeight="1">
      <c r="A383" s="60" t="s">
        <v>70</v>
      </c>
      <c r="B383" s="115">
        <f>C383</f>
        <v>405</v>
      </c>
      <c r="C383" s="56">
        <v>405</v>
      </c>
      <c r="D383" s="8"/>
      <c r="E383" s="105">
        <v>4745.7</v>
      </c>
      <c r="F383" s="109">
        <f t="shared" si="221"/>
        <v>1922008.5</v>
      </c>
      <c r="G383" s="41" t="s">
        <v>5</v>
      </c>
      <c r="H383" s="22">
        <f t="shared" si="288"/>
        <v>980</v>
      </c>
      <c r="I383" s="8">
        <v>575</v>
      </c>
      <c r="J383" s="7"/>
    </row>
    <row r="384" spans="1:10" ht="17.100000000000001" hidden="1" customHeight="1">
      <c r="A384" s="60" t="s">
        <v>65</v>
      </c>
      <c r="B384" s="115">
        <f t="shared" ref="B384:B385" si="290">C384/1.2</f>
        <v>400</v>
      </c>
      <c r="C384" s="56">
        <v>480</v>
      </c>
      <c r="D384" s="8"/>
      <c r="E384" s="105"/>
      <c r="F384" s="109">
        <f t="shared" si="221"/>
        <v>0</v>
      </c>
      <c r="G384" s="41" t="s">
        <v>5</v>
      </c>
      <c r="H384" s="22">
        <f t="shared" ref="H384:H386" si="291">B384+I384</f>
        <v>400</v>
      </c>
      <c r="I384" s="8"/>
      <c r="J384" s="7"/>
    </row>
    <row r="385" spans="1:10" ht="17.100000000000001" customHeight="1">
      <c r="A385" s="60" t="s">
        <v>108</v>
      </c>
      <c r="B385" s="115">
        <f t="shared" si="290"/>
        <v>416.66666666666669</v>
      </c>
      <c r="C385" s="56">
        <v>500</v>
      </c>
      <c r="D385" s="8"/>
      <c r="E385" s="105">
        <v>43.4</v>
      </c>
      <c r="F385" s="109">
        <f t="shared" si="221"/>
        <v>18083.333333333332</v>
      </c>
      <c r="G385" s="41" t="s">
        <v>5</v>
      </c>
      <c r="H385" s="22">
        <f t="shared" si="291"/>
        <v>416.66666666666669</v>
      </c>
      <c r="I385" s="8"/>
      <c r="J385" s="7"/>
    </row>
    <row r="386" spans="1:10" ht="17.100000000000001" customHeight="1">
      <c r="A386" s="60" t="s">
        <v>100</v>
      </c>
      <c r="B386" s="115">
        <f>F386/E386</f>
        <v>416.66679536679538</v>
      </c>
      <c r="C386" s="56">
        <f>B386*1.2</f>
        <v>500.00015444015446</v>
      </c>
      <c r="D386" s="55"/>
      <c r="E386" s="105">
        <v>25.9</v>
      </c>
      <c r="F386" s="109">
        <v>10791.67</v>
      </c>
      <c r="G386" s="41" t="s">
        <v>5</v>
      </c>
      <c r="H386" s="22">
        <f t="shared" si="291"/>
        <v>416.66679536679538</v>
      </c>
      <c r="I386" s="8"/>
      <c r="J386" s="7"/>
    </row>
    <row r="387" spans="1:10" ht="17.100000000000001" hidden="1" customHeight="1">
      <c r="A387" s="60" t="s">
        <v>33</v>
      </c>
      <c r="B387" s="115">
        <f t="shared" ref="B387:B390" si="292">C387/1.2</f>
        <v>425</v>
      </c>
      <c r="C387" s="56">
        <v>510</v>
      </c>
      <c r="D387" s="8"/>
      <c r="E387" s="105"/>
      <c r="F387" s="109">
        <f t="shared" si="221"/>
        <v>0</v>
      </c>
      <c r="G387" s="41" t="s">
        <v>5</v>
      </c>
      <c r="H387" s="22">
        <f t="shared" si="288"/>
        <v>425</v>
      </c>
      <c r="I387" s="8"/>
      <c r="J387" s="7"/>
    </row>
    <row r="388" spans="1:10" ht="17.100000000000001" customHeight="1">
      <c r="A388" s="60" t="s">
        <v>21</v>
      </c>
      <c r="B388" s="115">
        <f t="shared" si="292"/>
        <v>383.33333333333337</v>
      </c>
      <c r="C388" s="56">
        <v>460</v>
      </c>
      <c r="D388" s="8"/>
      <c r="E388" s="105">
        <v>67.3</v>
      </c>
      <c r="F388" s="109">
        <f t="shared" si="221"/>
        <v>25798.333333333336</v>
      </c>
      <c r="G388" s="41" t="s">
        <v>5</v>
      </c>
      <c r="H388" s="22">
        <f t="shared" ref="H388:H394" si="293">B388+I388</f>
        <v>383.33333333333337</v>
      </c>
      <c r="I388" s="8"/>
      <c r="J388" s="7"/>
    </row>
    <row r="389" spans="1:10" ht="17.100000000000001" customHeight="1">
      <c r="A389" s="60" t="s">
        <v>183</v>
      </c>
      <c r="B389" s="115">
        <f t="shared" si="292"/>
        <v>383.33333333333337</v>
      </c>
      <c r="C389" s="56">
        <v>460</v>
      </c>
      <c r="D389" s="8"/>
      <c r="E389" s="105">
        <v>2510.6</v>
      </c>
      <c r="F389" s="109">
        <f t="shared" si="221"/>
        <v>962396.66666666674</v>
      </c>
      <c r="G389" s="41" t="s">
        <v>5</v>
      </c>
      <c r="H389" s="22">
        <f t="shared" si="293"/>
        <v>383.33333333333337</v>
      </c>
      <c r="I389" s="8"/>
      <c r="J389" s="7"/>
    </row>
    <row r="390" spans="1:10" ht="17.100000000000001" hidden="1" customHeight="1">
      <c r="A390" s="60" t="s">
        <v>235</v>
      </c>
      <c r="B390" s="115">
        <f t="shared" si="292"/>
        <v>433.33333333333337</v>
      </c>
      <c r="C390" s="56">
        <v>520</v>
      </c>
      <c r="D390" s="8"/>
      <c r="E390" s="105"/>
      <c r="F390" s="109">
        <f t="shared" si="221"/>
        <v>0</v>
      </c>
      <c r="G390" s="41" t="s">
        <v>5</v>
      </c>
      <c r="H390" s="22">
        <f t="shared" si="293"/>
        <v>433.33333333333337</v>
      </c>
      <c r="I390" s="8"/>
      <c r="J390" s="7"/>
    </row>
    <row r="391" spans="1:10" ht="17.100000000000001" hidden="1" customHeight="1">
      <c r="A391" s="60" t="s">
        <v>141</v>
      </c>
      <c r="B391" s="115">
        <f t="shared" ref="B391:B392" si="294">C391/1.2</f>
        <v>416.66666666666669</v>
      </c>
      <c r="C391" s="56">
        <v>500</v>
      </c>
      <c r="D391" s="8"/>
      <c r="E391" s="105"/>
      <c r="F391" s="109">
        <f t="shared" si="221"/>
        <v>0</v>
      </c>
      <c r="G391" s="41" t="s">
        <v>5</v>
      </c>
      <c r="H391" s="22">
        <f t="shared" si="293"/>
        <v>416.66666666666669</v>
      </c>
      <c r="I391" s="8"/>
      <c r="J391" s="7"/>
    </row>
    <row r="392" spans="1:10" ht="17.100000000000001" customHeight="1">
      <c r="A392" s="60" t="s">
        <v>72</v>
      </c>
      <c r="B392" s="115">
        <f t="shared" si="294"/>
        <v>383.33333333333337</v>
      </c>
      <c r="C392" s="56">
        <v>460</v>
      </c>
      <c r="D392" s="8"/>
      <c r="E392" s="105">
        <v>124.6</v>
      </c>
      <c r="F392" s="109">
        <f t="shared" si="221"/>
        <v>47763.333333333336</v>
      </c>
      <c r="G392" s="41" t="s">
        <v>5</v>
      </c>
      <c r="H392" s="22">
        <f t="shared" si="293"/>
        <v>383.33333333333337</v>
      </c>
      <c r="I392" s="8"/>
      <c r="J392" s="7"/>
    </row>
    <row r="393" spans="1:10" ht="17.100000000000001" hidden="1" customHeight="1">
      <c r="A393" s="60" t="s">
        <v>60</v>
      </c>
      <c r="B393" s="115">
        <f t="shared" ref="B393" si="295">C393/1.2</f>
        <v>386.66666666666669</v>
      </c>
      <c r="C393" s="56">
        <v>464</v>
      </c>
      <c r="D393" s="8"/>
      <c r="E393" s="105"/>
      <c r="F393" s="109">
        <f t="shared" si="221"/>
        <v>0</v>
      </c>
      <c r="G393" s="41" t="s">
        <v>5</v>
      </c>
      <c r="H393" s="22">
        <f t="shared" si="293"/>
        <v>741.66666666666674</v>
      </c>
      <c r="I393" s="8">
        <f>426/1.2</f>
        <v>355</v>
      </c>
      <c r="J393" s="7"/>
    </row>
    <row r="394" spans="1:10" ht="17.100000000000001" customHeight="1">
      <c r="A394" s="57" t="s">
        <v>145</v>
      </c>
      <c r="B394" s="115">
        <f>F394/E394</f>
        <v>401.66666587784277</v>
      </c>
      <c r="C394" s="56">
        <f>B394*1.2</f>
        <v>481.99999905341133</v>
      </c>
      <c r="D394" s="55"/>
      <c r="E394" s="105">
        <v>4225.7</v>
      </c>
      <c r="F394" s="109">
        <v>1697322.83</v>
      </c>
      <c r="G394" s="41" t="s">
        <v>5</v>
      </c>
      <c r="H394" s="22">
        <f t="shared" si="293"/>
        <v>717.49999921117615</v>
      </c>
      <c r="I394" s="8">
        <f>379/1.2</f>
        <v>315.83333333333337</v>
      </c>
      <c r="J394" s="7"/>
    </row>
    <row r="395" spans="1:10" ht="17.100000000000001" customHeight="1">
      <c r="A395" s="57" t="s">
        <v>180</v>
      </c>
      <c r="B395" s="115">
        <f t="shared" ref="B395" si="296">C395/1.2</f>
        <v>391.66666666666669</v>
      </c>
      <c r="C395" s="56">
        <v>470</v>
      </c>
      <c r="D395" s="8"/>
      <c r="E395" s="105">
        <v>502.5</v>
      </c>
      <c r="F395" s="109">
        <f t="shared" si="221"/>
        <v>196812.5</v>
      </c>
      <c r="G395" s="41" t="s">
        <v>5</v>
      </c>
      <c r="H395" s="22">
        <f>B395+I395/1.2</f>
        <v>391.66666666666669</v>
      </c>
      <c r="I395" s="8"/>
      <c r="J395" s="7"/>
    </row>
    <row r="396" spans="1:10" ht="17.100000000000001" hidden="1" customHeight="1">
      <c r="A396" s="57" t="s">
        <v>159</v>
      </c>
      <c r="B396" s="115">
        <f t="shared" ref="B396" si="297">C396/1.2</f>
        <v>433.33333333333337</v>
      </c>
      <c r="C396" s="56">
        <v>520</v>
      </c>
      <c r="D396" s="8"/>
      <c r="E396" s="105"/>
      <c r="F396" s="109">
        <f t="shared" si="221"/>
        <v>0</v>
      </c>
      <c r="G396" s="41" t="s">
        <v>5</v>
      </c>
      <c r="H396" s="22">
        <f t="shared" ref="H396" si="298">B396+I396</f>
        <v>433.33333333333337</v>
      </c>
      <c r="I396" s="8"/>
      <c r="J396" s="7"/>
    </row>
    <row r="397" spans="1:10" ht="17.100000000000001" customHeight="1">
      <c r="A397" s="57" t="s">
        <v>274</v>
      </c>
      <c r="B397" s="115">
        <f>F397/E397</f>
        <v>433.33333333333337</v>
      </c>
      <c r="C397" s="56">
        <f>B397*1.2</f>
        <v>520</v>
      </c>
      <c r="D397" s="55"/>
      <c r="E397" s="105">
        <v>31.2</v>
      </c>
      <c r="F397" s="109">
        <v>13520</v>
      </c>
      <c r="G397" s="41" t="s">
        <v>5</v>
      </c>
      <c r="H397" s="22">
        <f t="shared" ref="H397" si="299">B397+I397</f>
        <v>433.33333333333337</v>
      </c>
      <c r="I397" s="8"/>
      <c r="J397" s="7"/>
    </row>
    <row r="398" spans="1:10" ht="17.100000000000001" customHeight="1">
      <c r="A398" s="57" t="s">
        <v>139</v>
      </c>
      <c r="B398" s="115">
        <f t="shared" ref="B398:B399" si="300">C398/1.2</f>
        <v>391.66666666666669</v>
      </c>
      <c r="C398" s="56">
        <v>470</v>
      </c>
      <c r="D398" s="8"/>
      <c r="E398" s="105">
        <v>3480.7</v>
      </c>
      <c r="F398" s="109">
        <f t="shared" si="221"/>
        <v>1363274.1666666667</v>
      </c>
      <c r="G398" s="41" t="s">
        <v>5</v>
      </c>
      <c r="H398" s="22">
        <f t="shared" ref="H398:H399" si="301">B398+I398</f>
        <v>391.66666666666669</v>
      </c>
      <c r="I398" s="8"/>
      <c r="J398" s="7"/>
    </row>
    <row r="399" spans="1:10" ht="17.100000000000001" customHeight="1">
      <c r="A399" s="57" t="s">
        <v>136</v>
      </c>
      <c r="B399" s="115">
        <f t="shared" si="300"/>
        <v>433.33333333333337</v>
      </c>
      <c r="C399" s="56">
        <v>520</v>
      </c>
      <c r="D399" s="8"/>
      <c r="E399" s="105">
        <v>44.6</v>
      </c>
      <c r="F399" s="109">
        <f t="shared" si="221"/>
        <v>19326.666666666668</v>
      </c>
      <c r="G399" s="41" t="s">
        <v>5</v>
      </c>
      <c r="H399" s="22">
        <f t="shared" si="301"/>
        <v>433.33333333333337</v>
      </c>
      <c r="I399" s="8"/>
      <c r="J399" s="7"/>
    </row>
    <row r="400" spans="1:10" ht="17.100000000000001" hidden="1" customHeight="1">
      <c r="A400" s="57" t="s">
        <v>74</v>
      </c>
      <c r="B400" s="115">
        <f t="shared" ref="B400" si="302">C400/1.2</f>
        <v>375</v>
      </c>
      <c r="C400" s="56">
        <v>450</v>
      </c>
      <c r="D400" s="8"/>
      <c r="E400" s="105"/>
      <c r="F400" s="109">
        <f t="shared" ref="F400" si="303">E400*B400</f>
        <v>0</v>
      </c>
      <c r="G400" s="41" t="s">
        <v>5</v>
      </c>
      <c r="H400" s="22">
        <f>B400+I400/1.2</f>
        <v>375</v>
      </c>
      <c r="I400" s="8"/>
      <c r="J400" s="7"/>
    </row>
    <row r="401" spans="1:10" ht="17.100000000000001" customHeight="1">
      <c r="A401" s="57" t="s">
        <v>48</v>
      </c>
      <c r="B401" s="115">
        <f>F401/E401</f>
        <v>400</v>
      </c>
      <c r="C401" s="56">
        <f>B401*1.2</f>
        <v>480</v>
      </c>
      <c r="D401" s="55"/>
      <c r="E401" s="105">
        <v>46.02</v>
      </c>
      <c r="F401" s="109">
        <v>18408</v>
      </c>
      <c r="G401" s="41" t="s">
        <v>5</v>
      </c>
      <c r="H401" s="22">
        <f>B401+I401/1.2</f>
        <v>400</v>
      </c>
      <c r="I401" s="8"/>
      <c r="J401" s="7"/>
    </row>
    <row r="402" spans="1:10" ht="17.100000000000001" customHeight="1">
      <c r="A402" s="57" t="s">
        <v>111</v>
      </c>
      <c r="B402" s="115">
        <f t="shared" ref="B402:B404" si="304">C402/1.2</f>
        <v>416.66666666666669</v>
      </c>
      <c r="C402" s="56">
        <v>500</v>
      </c>
      <c r="D402" s="8"/>
      <c r="E402" s="105">
        <v>199.2</v>
      </c>
      <c r="F402" s="109">
        <f t="shared" ref="F402:F404" si="305">E402*B402</f>
        <v>83000</v>
      </c>
      <c r="G402" s="41" t="s">
        <v>5</v>
      </c>
      <c r="H402" s="22">
        <f>B402+I402/1.2</f>
        <v>416.66666666666669</v>
      </c>
      <c r="I402" s="59"/>
      <c r="J402" s="64"/>
    </row>
    <row r="403" spans="1:10" ht="17.100000000000001" customHeight="1">
      <c r="A403" s="192" t="s">
        <v>223</v>
      </c>
      <c r="B403" s="115">
        <f t="shared" si="304"/>
        <v>433.33333333333337</v>
      </c>
      <c r="C403" s="56">
        <v>520</v>
      </c>
      <c r="D403" s="8"/>
      <c r="E403" s="105">
        <v>41.1</v>
      </c>
      <c r="F403" s="109">
        <f t="shared" si="305"/>
        <v>17810.000000000004</v>
      </c>
      <c r="G403" s="41" t="s">
        <v>5</v>
      </c>
      <c r="H403" s="22">
        <f>B403+I403/1.2</f>
        <v>433.33333333333337</v>
      </c>
      <c r="I403" s="59"/>
      <c r="J403" s="193"/>
    </row>
    <row r="404" spans="1:10" ht="17.100000000000001" customHeight="1">
      <c r="A404" s="192" t="s">
        <v>234</v>
      </c>
      <c r="B404" s="115">
        <f t="shared" si="304"/>
        <v>383.33333333333337</v>
      </c>
      <c r="C404" s="56">
        <v>460</v>
      </c>
      <c r="D404" s="8"/>
      <c r="E404" s="105">
        <v>568.5</v>
      </c>
      <c r="F404" s="109">
        <f t="shared" si="305"/>
        <v>217925.00000000003</v>
      </c>
      <c r="G404" s="41" t="s">
        <v>5</v>
      </c>
      <c r="H404" s="22">
        <f>B404+I404/1.2</f>
        <v>383.33333333333337</v>
      </c>
      <c r="I404" s="59"/>
      <c r="J404" s="193"/>
    </row>
    <row r="405" spans="1:10" s="25" customFormat="1" ht="17.100000000000001" customHeight="1">
      <c r="A405" s="186" t="s">
        <v>41</v>
      </c>
      <c r="B405" s="115">
        <f t="shared" ref="B405:B406" si="306">C405/1.2</f>
        <v>366.66666666666669</v>
      </c>
      <c r="C405" s="56">
        <v>440</v>
      </c>
      <c r="D405" s="8"/>
      <c r="E405" s="105">
        <v>1868.3</v>
      </c>
      <c r="F405" s="109">
        <f t="shared" ref="F405:F406" si="307">E405*B405</f>
        <v>685043.33333333337</v>
      </c>
      <c r="G405" s="41" t="s">
        <v>5</v>
      </c>
      <c r="H405" s="22">
        <f t="shared" ref="H405" si="308">C405+I405+J405</f>
        <v>440</v>
      </c>
      <c r="I405" s="8"/>
      <c r="J405" s="189"/>
    </row>
    <row r="406" spans="1:10" s="25" customFormat="1" ht="17.100000000000001" customHeight="1" thickBot="1">
      <c r="A406" s="184" t="s">
        <v>185</v>
      </c>
      <c r="B406" s="187">
        <f t="shared" si="306"/>
        <v>433.33333333333337</v>
      </c>
      <c r="C406" s="92">
        <v>520</v>
      </c>
      <c r="D406" s="93"/>
      <c r="E406" s="136">
        <v>117.2</v>
      </c>
      <c r="F406" s="188">
        <f t="shared" si="307"/>
        <v>50786.666666666672</v>
      </c>
      <c r="G406" s="41" t="s">
        <v>5</v>
      </c>
      <c r="H406" s="22">
        <f t="shared" ref="H406" si="309">C406+I406+J406</f>
        <v>520</v>
      </c>
      <c r="I406" s="93"/>
      <c r="J406" s="185"/>
    </row>
    <row r="407" spans="1:10" s="23" customFormat="1" ht="30" customHeight="1" thickBot="1">
      <c r="A407" s="102" t="s">
        <v>31</v>
      </c>
      <c r="B407" s="42">
        <f>F407/E407</f>
        <v>388.56747860746077</v>
      </c>
      <c r="C407" s="42"/>
      <c r="D407" s="43">
        <f>22000+58600</f>
        <v>80600</v>
      </c>
      <c r="E407" s="44">
        <f>SUM(E288:E406)</f>
        <v>71129.160000000018</v>
      </c>
      <c r="F407" s="44">
        <f>SUM(F288:F406)</f>
        <v>27638478.356666662</v>
      </c>
      <c r="G407" s="45"/>
      <c r="H407" s="43"/>
      <c r="I407" s="43"/>
      <c r="J407" s="46"/>
    </row>
    <row r="408" spans="1:10" s="23" customFormat="1" ht="24.95" customHeight="1" thickBot="1">
      <c r="A408" s="220" t="s">
        <v>27</v>
      </c>
      <c r="B408" s="221"/>
      <c r="C408" s="221"/>
      <c r="D408" s="221"/>
      <c r="E408" s="221"/>
      <c r="F408" s="221"/>
      <c r="G408" s="221"/>
      <c r="H408" s="221"/>
      <c r="I408" s="221"/>
      <c r="J408" s="222"/>
    </row>
    <row r="409" spans="1:10" s="23" customFormat="1" ht="17.100000000000001" customHeight="1">
      <c r="A409" s="135" t="s">
        <v>161</v>
      </c>
      <c r="B409" s="137">
        <f>C409/1.2</f>
        <v>433.33333333333337</v>
      </c>
      <c r="C409" s="58">
        <v>520</v>
      </c>
      <c r="D409" s="8"/>
      <c r="E409" s="108">
        <v>58.4</v>
      </c>
      <c r="F409" s="109">
        <f>E409*B409</f>
        <v>25306.666666666668</v>
      </c>
      <c r="G409" s="41" t="s">
        <v>6</v>
      </c>
      <c r="H409" s="22">
        <f t="shared" ref="H409:H411" si="310">B409+I409</f>
        <v>433.33333333333337</v>
      </c>
      <c r="I409" s="9">
        <v>0</v>
      </c>
      <c r="J409" s="10"/>
    </row>
    <row r="410" spans="1:10" s="23" customFormat="1" ht="17.100000000000001" customHeight="1">
      <c r="A410" s="233" t="s">
        <v>92</v>
      </c>
      <c r="B410" s="137">
        <f>C410/1.2</f>
        <v>425</v>
      </c>
      <c r="C410" s="138">
        <v>510</v>
      </c>
      <c r="D410" s="9"/>
      <c r="E410" s="139">
        <v>12.9</v>
      </c>
      <c r="F410" s="140">
        <f t="shared" ref="F410" si="311">E410*B410</f>
        <v>5482.5</v>
      </c>
      <c r="G410" s="71" t="s">
        <v>6</v>
      </c>
      <c r="H410" s="141">
        <f t="shared" ref="H410" si="312">B410+I410</f>
        <v>425</v>
      </c>
      <c r="I410" s="9"/>
      <c r="J410" s="10"/>
    </row>
    <row r="411" spans="1:10" s="23" customFormat="1" ht="17.100000000000001" customHeight="1">
      <c r="A411" s="142" t="s">
        <v>17</v>
      </c>
      <c r="B411" s="137">
        <f>C411/1.2</f>
        <v>383.33333333333337</v>
      </c>
      <c r="C411" s="138">
        <v>460</v>
      </c>
      <c r="D411" s="9"/>
      <c r="E411" s="139">
        <v>491.9</v>
      </c>
      <c r="F411" s="140">
        <f t="shared" ref="F411" si="313">E411*B411</f>
        <v>188561.66666666669</v>
      </c>
      <c r="G411" s="71" t="s">
        <v>6</v>
      </c>
      <c r="H411" s="141">
        <f t="shared" si="310"/>
        <v>383.33333333333337</v>
      </c>
      <c r="I411" s="9"/>
      <c r="J411" s="10"/>
    </row>
    <row r="412" spans="1:10" s="23" customFormat="1" ht="17.100000000000001" customHeight="1">
      <c r="A412" s="142" t="s">
        <v>224</v>
      </c>
      <c r="B412" s="137">
        <f>C412/1.2</f>
        <v>416.66666666666669</v>
      </c>
      <c r="C412" s="138">
        <v>500</v>
      </c>
      <c r="D412" s="9"/>
      <c r="E412" s="139">
        <v>29.6</v>
      </c>
      <c r="F412" s="140">
        <f t="shared" ref="F412" si="314">E412*B412</f>
        <v>12333.333333333334</v>
      </c>
      <c r="G412" s="71" t="s">
        <v>6</v>
      </c>
      <c r="H412" s="141">
        <f t="shared" ref="H412" si="315">B412+I412</f>
        <v>416.66666666666669</v>
      </c>
      <c r="I412" s="9"/>
      <c r="J412" s="10"/>
    </row>
    <row r="413" spans="1:10" s="129" customFormat="1" ht="17.100000000000001" customHeight="1">
      <c r="A413" s="74" t="s">
        <v>148</v>
      </c>
      <c r="B413" s="137">
        <f t="shared" ref="B413:B436" si="316">C413/1.2</f>
        <v>360.83333333333337</v>
      </c>
      <c r="C413" s="138">
        <v>433</v>
      </c>
      <c r="D413" s="9"/>
      <c r="E413" s="139">
        <v>1995.55</v>
      </c>
      <c r="F413" s="140">
        <f t="shared" ref="F413" si="317">E413*B413</f>
        <v>720060.95833333337</v>
      </c>
      <c r="G413" s="71" t="s">
        <v>6</v>
      </c>
      <c r="H413" s="141">
        <f t="shared" ref="H413" si="318">B413+I413</f>
        <v>766.66666666666674</v>
      </c>
      <c r="I413" s="9">
        <f>487/1.2</f>
        <v>405.83333333333337</v>
      </c>
      <c r="J413" s="10"/>
    </row>
    <row r="414" spans="1:10" s="23" customFormat="1" ht="17.100000000000001" customHeight="1">
      <c r="A414" s="60" t="s">
        <v>52</v>
      </c>
      <c r="B414" s="137">
        <f t="shared" si="316"/>
        <v>425</v>
      </c>
      <c r="C414" s="58">
        <v>510</v>
      </c>
      <c r="D414" s="8"/>
      <c r="E414" s="134">
        <v>53.7</v>
      </c>
      <c r="F414" s="109">
        <f t="shared" ref="F414" si="319">E414*B414</f>
        <v>22822.5</v>
      </c>
      <c r="G414" s="41" t="s">
        <v>6</v>
      </c>
      <c r="H414" s="22">
        <f t="shared" ref="H414" si="320">B414+I414</f>
        <v>425</v>
      </c>
      <c r="I414" s="8"/>
      <c r="J414" s="7"/>
    </row>
    <row r="415" spans="1:10" s="23" customFormat="1" ht="17.100000000000001" customHeight="1">
      <c r="A415" s="60" t="s">
        <v>19</v>
      </c>
      <c r="B415" s="137">
        <f t="shared" si="316"/>
        <v>339.16666666666669</v>
      </c>
      <c r="C415" s="58">
        <v>407</v>
      </c>
      <c r="D415" s="8"/>
      <c r="E415" s="108">
        <v>2969.85</v>
      </c>
      <c r="F415" s="109">
        <f t="shared" ref="F415:F416" si="321">E415*B415</f>
        <v>1007274.125</v>
      </c>
      <c r="G415" s="41" t="s">
        <v>6</v>
      </c>
      <c r="H415" s="22">
        <f t="shared" ref="H415:H416" si="322">B415+I415</f>
        <v>820.83333333333337</v>
      </c>
      <c r="I415" s="8">
        <f>578/1.2</f>
        <v>481.66666666666669</v>
      </c>
      <c r="J415" s="7"/>
    </row>
    <row r="416" spans="1:10" s="23" customFormat="1" ht="17.100000000000001" customHeight="1">
      <c r="A416" s="60" t="s">
        <v>225</v>
      </c>
      <c r="B416" s="115">
        <f>C416</f>
        <v>964</v>
      </c>
      <c r="C416" s="56">
        <v>964</v>
      </c>
      <c r="D416" s="8"/>
      <c r="E416" s="105">
        <v>2728.8</v>
      </c>
      <c r="F416" s="109">
        <f t="shared" si="321"/>
        <v>2630563.2000000002</v>
      </c>
      <c r="G416" s="41" t="s">
        <v>6</v>
      </c>
      <c r="H416" s="22">
        <f t="shared" si="322"/>
        <v>1650</v>
      </c>
      <c r="I416" s="8">
        <v>686</v>
      </c>
      <c r="J416" s="7"/>
    </row>
    <row r="417" spans="1:10" s="23" customFormat="1" ht="17.100000000000001" customHeight="1">
      <c r="A417" s="60" t="s">
        <v>128</v>
      </c>
      <c r="B417" s="137">
        <f t="shared" si="316"/>
        <v>438.33333333333337</v>
      </c>
      <c r="C417" s="58">
        <v>526</v>
      </c>
      <c r="D417" s="8"/>
      <c r="E417" s="108">
        <v>1586.05</v>
      </c>
      <c r="F417" s="109">
        <f t="shared" ref="F417" si="323">E417*B417</f>
        <v>695218.58333333337</v>
      </c>
      <c r="G417" s="41" t="s">
        <v>6</v>
      </c>
      <c r="H417" s="22">
        <f t="shared" ref="H417" si="324">B417+I417</f>
        <v>870.83333333333337</v>
      </c>
      <c r="I417" s="8">
        <f>519/1.2</f>
        <v>432.5</v>
      </c>
      <c r="J417" s="7"/>
    </row>
    <row r="418" spans="1:10" s="23" customFormat="1" ht="17.100000000000001" hidden="1" customHeight="1">
      <c r="A418" s="60" t="s">
        <v>216</v>
      </c>
      <c r="B418" s="137">
        <f t="shared" si="316"/>
        <v>433.33333333333337</v>
      </c>
      <c r="C418" s="58">
        <v>520</v>
      </c>
      <c r="D418" s="8"/>
      <c r="E418" s="108"/>
      <c r="F418" s="109">
        <f t="shared" ref="F418" si="325">E418*B418</f>
        <v>0</v>
      </c>
      <c r="G418" s="41" t="s">
        <v>6</v>
      </c>
      <c r="H418" s="22">
        <f t="shared" ref="H418" si="326">B418+I418</f>
        <v>433.33333333333337</v>
      </c>
      <c r="I418" s="8"/>
      <c r="J418" s="7"/>
    </row>
    <row r="419" spans="1:10" s="23" customFormat="1" ht="17.100000000000001" hidden="1" customHeight="1">
      <c r="A419" s="60" t="s">
        <v>35</v>
      </c>
      <c r="B419" s="137">
        <f t="shared" si="316"/>
        <v>425</v>
      </c>
      <c r="C419" s="58">
        <v>510</v>
      </c>
      <c r="D419" s="8"/>
      <c r="E419" s="108"/>
      <c r="F419" s="109">
        <f t="shared" ref="F419" si="327">E419*B419</f>
        <v>0</v>
      </c>
      <c r="G419" s="41" t="s">
        <v>6</v>
      </c>
      <c r="H419" s="22">
        <f t="shared" ref="H419" si="328">B419+I419</f>
        <v>425</v>
      </c>
      <c r="I419" s="8"/>
      <c r="J419" s="7"/>
    </row>
    <row r="420" spans="1:10" s="23" customFormat="1" ht="17.100000000000001" customHeight="1">
      <c r="A420" s="60" t="s">
        <v>109</v>
      </c>
      <c r="B420" s="137">
        <f t="shared" si="316"/>
        <v>310</v>
      </c>
      <c r="C420" s="58">
        <v>372</v>
      </c>
      <c r="D420" s="8"/>
      <c r="E420" s="108">
        <v>1626.6</v>
      </c>
      <c r="F420" s="109">
        <f t="shared" ref="F420" si="329">E420*B420</f>
        <v>504246</v>
      </c>
      <c r="G420" s="41" t="s">
        <v>6</v>
      </c>
      <c r="H420" s="22">
        <f t="shared" ref="H420" si="330">B420+I420</f>
        <v>808.33333333333337</v>
      </c>
      <c r="I420" s="8">
        <f>598/1.2</f>
        <v>498.33333333333337</v>
      </c>
      <c r="J420" s="7"/>
    </row>
    <row r="421" spans="1:10" s="23" customFormat="1" ht="17.100000000000001" customHeight="1">
      <c r="A421" s="60" t="s">
        <v>90</v>
      </c>
      <c r="B421" s="137">
        <f t="shared" si="316"/>
        <v>425</v>
      </c>
      <c r="C421" s="58">
        <v>510</v>
      </c>
      <c r="D421" s="8"/>
      <c r="E421" s="108">
        <v>26.5</v>
      </c>
      <c r="F421" s="109">
        <f t="shared" ref="F421" si="331">E421*B421</f>
        <v>11262.5</v>
      </c>
      <c r="G421" s="41" t="s">
        <v>6</v>
      </c>
      <c r="H421" s="22">
        <f t="shared" ref="H421" si="332">B421+I421</f>
        <v>425</v>
      </c>
      <c r="I421" s="8"/>
      <c r="J421" s="7"/>
    </row>
    <row r="422" spans="1:10" ht="17.100000000000001" hidden="1" customHeight="1">
      <c r="A422" s="60" t="s">
        <v>129</v>
      </c>
      <c r="B422" s="137">
        <f>C422/1.2</f>
        <v>416.66666666666669</v>
      </c>
      <c r="C422" s="56">
        <v>500</v>
      </c>
      <c r="D422" s="8"/>
      <c r="E422" s="105"/>
      <c r="F422" s="109">
        <f t="shared" ref="F422:F439" si="333">E422*B422</f>
        <v>0</v>
      </c>
      <c r="G422" s="41" t="s">
        <v>5</v>
      </c>
      <c r="H422" s="22">
        <f t="shared" ref="H422:H423" si="334">B422+I422</f>
        <v>416.66666666666669</v>
      </c>
      <c r="I422" s="4"/>
      <c r="J422" s="62"/>
    </row>
    <row r="423" spans="1:10" ht="17.100000000000001" customHeight="1">
      <c r="A423" s="60" t="s">
        <v>177</v>
      </c>
      <c r="B423" s="137">
        <f>C423/1.2</f>
        <v>433.33333333333337</v>
      </c>
      <c r="C423" s="56">
        <v>520</v>
      </c>
      <c r="D423" s="8"/>
      <c r="E423" s="105">
        <v>49.7</v>
      </c>
      <c r="F423" s="109">
        <f t="shared" si="333"/>
        <v>21536.666666666672</v>
      </c>
      <c r="G423" s="41" t="s">
        <v>5</v>
      </c>
      <c r="H423" s="22">
        <f t="shared" si="334"/>
        <v>433.33333333333337</v>
      </c>
      <c r="I423" s="4"/>
      <c r="J423" s="62"/>
    </row>
    <row r="424" spans="1:10" ht="17.100000000000001" customHeight="1">
      <c r="A424" s="60" t="s">
        <v>16</v>
      </c>
      <c r="B424" s="115">
        <f>F424/E424</f>
        <v>355</v>
      </c>
      <c r="C424" s="56">
        <f>B424*1.2</f>
        <v>426</v>
      </c>
      <c r="D424" s="55"/>
      <c r="E424" s="105">
        <v>2991.55</v>
      </c>
      <c r="F424" s="109">
        <v>1062000.25</v>
      </c>
      <c r="G424" s="41" t="s">
        <v>5</v>
      </c>
      <c r="H424" s="22">
        <f>B424+I424</f>
        <v>355</v>
      </c>
      <c r="I424" s="4"/>
      <c r="J424" s="62"/>
    </row>
    <row r="425" spans="1:10" ht="17.100000000000001" customHeight="1">
      <c r="A425" s="60" t="s">
        <v>202</v>
      </c>
      <c r="B425" s="115">
        <f>F425/E425</f>
        <v>216.33000124836153</v>
      </c>
      <c r="C425" s="56">
        <f>B425*1.2</f>
        <v>259.59600149803384</v>
      </c>
      <c r="D425" s="55"/>
      <c r="E425" s="105">
        <v>3204.2</v>
      </c>
      <c r="F425" s="109">
        <v>693164.59</v>
      </c>
      <c r="G425" s="41" t="s">
        <v>5</v>
      </c>
      <c r="H425" s="22">
        <f>B425+I425</f>
        <v>542.99666791502818</v>
      </c>
      <c r="I425" s="8">
        <f>392/1.2</f>
        <v>326.66666666666669</v>
      </c>
      <c r="J425" s="62"/>
    </row>
    <row r="426" spans="1:10" ht="17.100000000000001" customHeight="1">
      <c r="A426" s="60" t="s">
        <v>23</v>
      </c>
      <c r="B426" s="115">
        <f>F426/E426</f>
        <v>399.77407021202646</v>
      </c>
      <c r="C426" s="56">
        <f>B426*1.2</f>
        <v>479.7288842544317</v>
      </c>
      <c r="D426" s="55"/>
      <c r="E426" s="105">
        <v>287.7</v>
      </c>
      <c r="F426" s="109">
        <v>115015</v>
      </c>
      <c r="G426" s="41" t="s">
        <v>5</v>
      </c>
      <c r="H426" s="22">
        <f t="shared" ref="H426" si="335">B426+I426</f>
        <v>399.77407021202646</v>
      </c>
      <c r="I426" s="4"/>
      <c r="J426" s="62"/>
    </row>
    <row r="427" spans="1:10" ht="17.100000000000001" customHeight="1">
      <c r="A427" s="60" t="s">
        <v>116</v>
      </c>
      <c r="B427" s="137">
        <f t="shared" si="316"/>
        <v>329</v>
      </c>
      <c r="C427" s="56">
        <v>394.8</v>
      </c>
      <c r="D427" s="8"/>
      <c r="E427" s="105">
        <v>2430.6999999999998</v>
      </c>
      <c r="F427" s="109">
        <f t="shared" si="333"/>
        <v>799700.29999999993</v>
      </c>
      <c r="G427" s="41" t="s">
        <v>5</v>
      </c>
      <c r="H427" s="22">
        <f t="shared" ref="H427:H428" si="336">B427+I427</f>
        <v>574</v>
      </c>
      <c r="I427" s="8">
        <f>294/1.2</f>
        <v>245</v>
      </c>
      <c r="J427" s="62"/>
    </row>
    <row r="428" spans="1:10" ht="17.100000000000001" customHeight="1">
      <c r="A428" s="60" t="s">
        <v>275</v>
      </c>
      <c r="B428" s="115">
        <f>C428</f>
        <v>1051</v>
      </c>
      <c r="C428" s="56">
        <v>1051</v>
      </c>
      <c r="D428" s="8"/>
      <c r="E428" s="105">
        <v>1349.7</v>
      </c>
      <c r="F428" s="109">
        <f t="shared" si="333"/>
        <v>1418534.7</v>
      </c>
      <c r="G428" s="41" t="s">
        <v>6</v>
      </c>
      <c r="H428" s="22">
        <f t="shared" si="336"/>
        <v>1750</v>
      </c>
      <c r="I428" s="8">
        <v>699</v>
      </c>
      <c r="J428" s="62"/>
    </row>
    <row r="429" spans="1:10" ht="17.100000000000001" customHeight="1">
      <c r="A429" s="60" t="s">
        <v>126</v>
      </c>
      <c r="B429" s="137">
        <f t="shared" si="316"/>
        <v>335</v>
      </c>
      <c r="C429" s="56">
        <v>402</v>
      </c>
      <c r="D429" s="8"/>
      <c r="E429" s="105">
        <v>3937.6</v>
      </c>
      <c r="F429" s="109">
        <f t="shared" si="333"/>
        <v>1319096</v>
      </c>
      <c r="G429" s="41" t="s">
        <v>5</v>
      </c>
      <c r="H429" s="22">
        <f t="shared" ref="H429" si="337">B429+I429</f>
        <v>716.66666666666674</v>
      </c>
      <c r="I429" s="8">
        <f>458/1.2</f>
        <v>381.66666666666669</v>
      </c>
      <c r="J429" s="62"/>
    </row>
    <row r="430" spans="1:10" ht="17.100000000000001" hidden="1" customHeight="1">
      <c r="A430" s="60" t="s">
        <v>100</v>
      </c>
      <c r="B430" s="137">
        <f t="shared" si="316"/>
        <v>0</v>
      </c>
      <c r="C430" s="56"/>
      <c r="D430" s="8"/>
      <c r="E430" s="105"/>
      <c r="F430" s="109">
        <f t="shared" si="333"/>
        <v>0</v>
      </c>
      <c r="G430" s="41" t="s">
        <v>5</v>
      </c>
      <c r="H430" s="22">
        <f t="shared" ref="H430" si="338">B430+I430</f>
        <v>0</v>
      </c>
      <c r="I430" s="4"/>
      <c r="J430" s="62"/>
    </row>
    <row r="431" spans="1:10" ht="17.100000000000001" hidden="1" customHeight="1">
      <c r="A431" s="60" t="s">
        <v>33</v>
      </c>
      <c r="B431" s="137">
        <f t="shared" si="316"/>
        <v>0</v>
      </c>
      <c r="C431" s="56"/>
      <c r="D431" s="8"/>
      <c r="E431" s="105"/>
      <c r="F431" s="109">
        <f t="shared" si="333"/>
        <v>0</v>
      </c>
      <c r="G431" s="41" t="s">
        <v>5</v>
      </c>
      <c r="H431" s="22">
        <f t="shared" ref="H431" si="339">B431+I431</f>
        <v>0</v>
      </c>
      <c r="I431" s="4"/>
      <c r="J431" s="62"/>
    </row>
    <row r="432" spans="1:10" ht="17.100000000000001" customHeight="1">
      <c r="A432" s="60" t="s">
        <v>21</v>
      </c>
      <c r="B432" s="137">
        <f t="shared" si="316"/>
        <v>383.33333333333337</v>
      </c>
      <c r="C432" s="56">
        <v>460</v>
      </c>
      <c r="D432" s="8"/>
      <c r="E432" s="105">
        <v>231.6</v>
      </c>
      <c r="F432" s="109">
        <f t="shared" ref="F432" si="340">E432*B432</f>
        <v>88780</v>
      </c>
      <c r="G432" s="41" t="s">
        <v>5</v>
      </c>
      <c r="H432" s="22">
        <f t="shared" ref="H432" si="341">B432+I432</f>
        <v>383.33333333333337</v>
      </c>
      <c r="I432" s="4"/>
      <c r="J432" s="62"/>
    </row>
    <row r="433" spans="1:10" ht="17.100000000000001" hidden="1" customHeight="1">
      <c r="A433" s="60" t="s">
        <v>50</v>
      </c>
      <c r="B433" s="137">
        <f t="shared" si="316"/>
        <v>383.33333333333337</v>
      </c>
      <c r="C433" s="56">
        <v>460</v>
      </c>
      <c r="D433" s="8"/>
      <c r="E433" s="105"/>
      <c r="F433" s="109">
        <f t="shared" si="333"/>
        <v>0</v>
      </c>
      <c r="G433" s="41" t="s">
        <v>5</v>
      </c>
      <c r="H433" s="22">
        <f t="shared" ref="H433" si="342">B433+I433</f>
        <v>383.33333333333337</v>
      </c>
      <c r="I433" s="4"/>
      <c r="J433" s="62"/>
    </row>
    <row r="434" spans="1:10" ht="17.100000000000001" hidden="1" customHeight="1">
      <c r="A434" s="60" t="s">
        <v>72</v>
      </c>
      <c r="B434" s="137">
        <f t="shared" si="316"/>
        <v>0</v>
      </c>
      <c r="C434" s="56"/>
      <c r="D434" s="55"/>
      <c r="E434" s="105"/>
      <c r="F434" s="109">
        <f t="shared" si="333"/>
        <v>0</v>
      </c>
      <c r="G434" s="41" t="s">
        <v>5</v>
      </c>
      <c r="H434" s="22">
        <f>B434+I434</f>
        <v>0</v>
      </c>
      <c r="I434" s="4"/>
      <c r="J434" s="62"/>
    </row>
    <row r="435" spans="1:10" ht="17.100000000000001" customHeight="1">
      <c r="A435" s="60" t="s">
        <v>13</v>
      </c>
      <c r="B435" s="115">
        <f>F435/E435</f>
        <v>436.04357447837822</v>
      </c>
      <c r="C435" s="56">
        <f>B435*1.2</f>
        <v>523.25228937405382</v>
      </c>
      <c r="D435" s="55"/>
      <c r="E435" s="105">
        <v>14717.56</v>
      </c>
      <c r="F435" s="109">
        <v>6417497.4699999997</v>
      </c>
      <c r="G435" s="41" t="s">
        <v>5</v>
      </c>
      <c r="H435" s="22">
        <f>B435+I435</f>
        <v>436.04357447837822</v>
      </c>
      <c r="I435" s="8"/>
      <c r="J435" s="7"/>
    </row>
    <row r="436" spans="1:10" ht="17.100000000000001" customHeight="1">
      <c r="A436" s="57" t="s">
        <v>95</v>
      </c>
      <c r="B436" s="137">
        <f t="shared" si="316"/>
        <v>318.33333333333337</v>
      </c>
      <c r="C436" s="56">
        <v>382</v>
      </c>
      <c r="D436" s="55"/>
      <c r="E436" s="105">
        <v>3068</v>
      </c>
      <c r="F436" s="109">
        <f t="shared" si="333"/>
        <v>976646.66666666674</v>
      </c>
      <c r="G436" s="41" t="s">
        <v>5</v>
      </c>
      <c r="H436" s="22">
        <f t="shared" ref="H436:H439" si="343">B436+I436</f>
        <v>633.33333333333337</v>
      </c>
      <c r="I436" s="8">
        <f>378/1.2</f>
        <v>315</v>
      </c>
      <c r="J436" s="7"/>
    </row>
    <row r="437" spans="1:10" ht="17.100000000000001" customHeight="1">
      <c r="A437" s="57" t="s">
        <v>87</v>
      </c>
      <c r="B437" s="137">
        <f t="shared" ref="B437:B439" si="344">C437/1.2</f>
        <v>375</v>
      </c>
      <c r="C437" s="56">
        <v>450</v>
      </c>
      <c r="D437" s="55"/>
      <c r="E437" s="105">
        <v>417.5</v>
      </c>
      <c r="F437" s="109">
        <f t="shared" si="333"/>
        <v>156562.5</v>
      </c>
      <c r="G437" s="41" t="s">
        <v>5</v>
      </c>
      <c r="H437" s="22">
        <f t="shared" si="343"/>
        <v>725.83333333333337</v>
      </c>
      <c r="I437" s="8">
        <f>421/1.2</f>
        <v>350.83333333333337</v>
      </c>
      <c r="J437" s="7"/>
    </row>
    <row r="438" spans="1:10" ht="17.100000000000001" customHeight="1">
      <c r="A438" s="186" t="s">
        <v>223</v>
      </c>
      <c r="B438" s="115">
        <f t="shared" si="344"/>
        <v>433.33333333333337</v>
      </c>
      <c r="C438" s="56">
        <v>520</v>
      </c>
      <c r="D438" s="55"/>
      <c r="E438" s="105">
        <v>22.4</v>
      </c>
      <c r="F438" s="109">
        <f t="shared" si="333"/>
        <v>9706.6666666666661</v>
      </c>
      <c r="G438" s="41" t="s">
        <v>5</v>
      </c>
      <c r="H438" s="22">
        <f t="shared" si="343"/>
        <v>433.33333333333337</v>
      </c>
      <c r="I438" s="8"/>
      <c r="J438" s="189"/>
    </row>
    <row r="439" spans="1:10" ht="17.100000000000001" customHeight="1">
      <c r="A439" s="186" t="s">
        <v>41</v>
      </c>
      <c r="B439" s="115">
        <f t="shared" si="344"/>
        <v>366.66666666666669</v>
      </c>
      <c r="C439" s="56">
        <v>440</v>
      </c>
      <c r="D439" s="55"/>
      <c r="E439" s="105">
        <v>581.1</v>
      </c>
      <c r="F439" s="109">
        <f t="shared" si="333"/>
        <v>213070.00000000003</v>
      </c>
      <c r="G439" s="41" t="s">
        <v>5</v>
      </c>
      <c r="H439" s="22">
        <f t="shared" si="343"/>
        <v>366.66666666666669</v>
      </c>
      <c r="I439" s="8"/>
      <c r="J439" s="189"/>
    </row>
    <row r="440" spans="1:10" s="25" customFormat="1" ht="17.100000000000001" customHeight="1" thickBot="1">
      <c r="A440" s="91" t="s">
        <v>185</v>
      </c>
      <c r="B440" s="137">
        <f t="shared" ref="B440" si="345">C440/1.2</f>
        <v>366.66666666666669</v>
      </c>
      <c r="C440" s="66">
        <v>440</v>
      </c>
      <c r="D440" s="9"/>
      <c r="E440" s="118">
        <v>86.2</v>
      </c>
      <c r="F440" s="165">
        <f t="shared" ref="F440" si="346">E440*B440</f>
        <v>31606.666666666668</v>
      </c>
      <c r="G440" s="94" t="s">
        <v>5</v>
      </c>
      <c r="H440" s="166">
        <f t="shared" ref="H440" si="347">C440+I440+J440</f>
        <v>855.83333333333337</v>
      </c>
      <c r="I440" s="68">
        <f>499/1.2</f>
        <v>415.83333333333337</v>
      </c>
      <c r="J440" s="69"/>
    </row>
    <row r="441" spans="1:10" s="25" customFormat="1" ht="30" customHeight="1" thickBot="1">
      <c r="A441" s="102" t="s">
        <v>32</v>
      </c>
      <c r="B441" s="112">
        <f>F441/E441</f>
        <v>425.89025001690567</v>
      </c>
      <c r="C441" s="42"/>
      <c r="D441" s="43">
        <v>55600</v>
      </c>
      <c r="E441" s="44">
        <f>SUM(E409:E440)</f>
        <v>44955.360000000001</v>
      </c>
      <c r="F441" s="44">
        <f>SUM(F409:F440)</f>
        <v>19146049.510000002</v>
      </c>
      <c r="G441" s="45"/>
      <c r="H441" s="43"/>
      <c r="I441" s="43"/>
      <c r="J441" s="46"/>
    </row>
    <row r="442" spans="1:10" ht="24.95" customHeight="1" thickBot="1">
      <c r="A442" s="104" t="s">
        <v>7</v>
      </c>
      <c r="B442" s="114">
        <f>F442/E442</f>
        <v>405.67485383044664</v>
      </c>
      <c r="C442" s="75"/>
      <c r="D442" s="38">
        <f>D135+D280+D407+D441+D286+D283</f>
        <v>300000</v>
      </c>
      <c r="E442" s="39">
        <f>E135+E280+E407+E441+E286+E283</f>
        <v>244889.11999999994</v>
      </c>
      <c r="F442" s="39">
        <f>F135+F280+F407+F441+F286+F283</f>
        <v>99345357.960666686</v>
      </c>
      <c r="G442" s="38"/>
      <c r="H442" s="38"/>
      <c r="I442" s="38"/>
      <c r="J442" s="40"/>
    </row>
    <row r="443" spans="1:10">
      <c r="A443" s="213" t="s">
        <v>8</v>
      </c>
      <c r="B443" s="35"/>
      <c r="C443" s="215" t="s">
        <v>9</v>
      </c>
      <c r="D443" s="215"/>
      <c r="E443" s="33">
        <f>E442/D442</f>
        <v>0.81629706666666646</v>
      </c>
      <c r="F443" s="13"/>
      <c r="G443" s="14"/>
      <c r="H443" s="36"/>
      <c r="I443" s="37"/>
      <c r="J443" s="10"/>
    </row>
    <row r="444" spans="1:10">
      <c r="A444" s="213"/>
      <c r="B444" s="61"/>
      <c r="C444" s="211" t="s">
        <v>57</v>
      </c>
      <c r="D444" s="212"/>
      <c r="E444" s="113">
        <f>D442/31*31</f>
        <v>300000</v>
      </c>
      <c r="F444" s="15"/>
      <c r="G444" s="16"/>
      <c r="H444" s="5"/>
      <c r="I444" s="6"/>
      <c r="J444" s="7"/>
    </row>
    <row r="445" spans="1:10">
      <c r="A445" s="214"/>
      <c r="B445" s="32"/>
      <c r="C445" s="216" t="s">
        <v>11</v>
      </c>
      <c r="D445" s="216"/>
      <c r="E445" s="34">
        <f>E442-E444</f>
        <v>-55110.880000000063</v>
      </c>
      <c r="F445" s="15"/>
      <c r="G445" s="16"/>
      <c r="H445" s="5"/>
      <c r="I445" s="6"/>
      <c r="J445" s="7"/>
    </row>
    <row r="446" spans="1:10" s="31" customFormat="1" ht="31.5" customHeight="1">
      <c r="A446" s="70" t="s">
        <v>58</v>
      </c>
      <c r="B446" s="217" t="s">
        <v>79</v>
      </c>
      <c r="C446" s="218"/>
      <c r="D446" s="219"/>
      <c r="E446" s="78" t="s">
        <v>9</v>
      </c>
      <c r="F446" s="15"/>
      <c r="G446" s="16"/>
      <c r="H446" s="5"/>
      <c r="I446" s="6"/>
      <c r="J446" s="7"/>
    </row>
    <row r="447" spans="1:10" ht="24.95" customHeight="1" thickBot="1">
      <c r="A447" s="73">
        <f>128282533*1.2</f>
        <v>153939039.59999999</v>
      </c>
      <c r="B447" s="197">
        <f>'Приход ДС'!C36</f>
        <v>216526964.78988701</v>
      </c>
      <c r="C447" s="198"/>
      <c r="D447" s="199"/>
      <c r="E447" s="79">
        <f>B447/A447</f>
        <v>1.4065760404411867</v>
      </c>
      <c r="F447" s="26"/>
      <c r="G447" s="29"/>
      <c r="H447" s="27"/>
      <c r="I447" s="30"/>
      <c r="J447" s="28"/>
    </row>
    <row r="448" spans="1:10" s="144" customFormat="1" ht="15" customHeight="1">
      <c r="A448" s="226" t="s">
        <v>101</v>
      </c>
      <c r="B448" s="228" t="s">
        <v>75</v>
      </c>
      <c r="C448" s="228" t="s">
        <v>1</v>
      </c>
      <c r="D448" s="228" t="s">
        <v>2</v>
      </c>
      <c r="E448" s="228" t="s">
        <v>3</v>
      </c>
      <c r="F448" s="228" t="s">
        <v>78</v>
      </c>
      <c r="G448" s="228" t="s">
        <v>105</v>
      </c>
      <c r="H448" s="228"/>
      <c r="I448" s="228"/>
      <c r="J448" s="228"/>
    </row>
    <row r="449" spans="1:10" ht="20.100000000000001" customHeight="1" thickBot="1">
      <c r="A449" s="227"/>
      <c r="B449" s="229"/>
      <c r="C449" s="229"/>
      <c r="D449" s="229"/>
      <c r="E449" s="229"/>
      <c r="F449" s="229"/>
      <c r="G449" s="229"/>
      <c r="H449" s="229"/>
      <c r="I449" s="229"/>
      <c r="J449" s="229"/>
    </row>
    <row r="450" spans="1:10" ht="24.95" customHeight="1">
      <c r="A450" s="145" t="s">
        <v>102</v>
      </c>
      <c r="B450" s="146">
        <f>F450/E450</f>
        <v>388.51562914721649</v>
      </c>
      <c r="C450" s="147">
        <f>B450*1.2</f>
        <v>466.21875497665974</v>
      </c>
      <c r="D450" s="148"/>
      <c r="E450" s="149">
        <f>E442-E451-E452</f>
        <v>216699.06999999995</v>
      </c>
      <c r="F450" s="149">
        <f>F442-F451-F452</f>
        <v>84190975.516666681</v>
      </c>
      <c r="G450" s="146">
        <f>E450*100/E442</f>
        <v>88.488647433581377</v>
      </c>
      <c r="H450" s="148"/>
      <c r="I450" s="148"/>
      <c r="J450" s="150"/>
    </row>
    <row r="451" spans="1:10" ht="24.95" customHeight="1">
      <c r="A451" s="151" t="s">
        <v>103</v>
      </c>
      <c r="B451" s="152">
        <f>F451/E451</f>
        <v>672.20640952386225</v>
      </c>
      <c r="C451" s="153">
        <f>B451</f>
        <v>672.20640952386225</v>
      </c>
      <c r="D451" s="154"/>
      <c r="E451" s="155">
        <f>E285+E358+E199+E416+E342+E363</f>
        <v>9013.1500000000015</v>
      </c>
      <c r="F451" s="155">
        <f>F285+F358+F199+F416+F342+F363</f>
        <v>6058697.2000000002</v>
      </c>
      <c r="G451" s="152">
        <f>E451*100/E442</f>
        <v>3.680502424934192</v>
      </c>
      <c r="H451" s="154"/>
      <c r="I451" s="154"/>
      <c r="J451" s="156"/>
    </row>
    <row r="452" spans="1:10" ht="24.95" customHeight="1" thickBot="1">
      <c r="A452" s="157" t="s">
        <v>104</v>
      </c>
      <c r="B452" s="158">
        <f>F452/E452</f>
        <v>474.30425376364263</v>
      </c>
      <c r="C452" s="159">
        <f>B452</f>
        <v>474.30425376364263</v>
      </c>
      <c r="D452" s="160"/>
      <c r="E452" s="161">
        <f>E383+E328+E282+E208+E189+E251</f>
        <v>19176.900000000001</v>
      </c>
      <c r="F452" s="161">
        <f>F383+F328+F282+F208+F189+F251</f>
        <v>9095685.243999999</v>
      </c>
      <c r="G452" s="158">
        <f>E452*100/E442</f>
        <v>7.8308501414844427</v>
      </c>
      <c r="H452" s="160"/>
      <c r="I452" s="160"/>
      <c r="J452" s="162"/>
    </row>
    <row r="453" spans="1:10">
      <c r="A453" s="47"/>
      <c r="B453" s="48"/>
    </row>
    <row r="454" spans="1:10">
      <c r="A454" s="47"/>
      <c r="B454" s="48"/>
    </row>
    <row r="455" spans="1:10">
      <c r="A455" s="47"/>
      <c r="B455" s="48"/>
    </row>
    <row r="456" spans="1:10">
      <c r="B456" s="48"/>
    </row>
    <row r="457" spans="1:10">
      <c r="B457" s="48"/>
    </row>
    <row r="458" spans="1:10">
      <c r="B458" s="48"/>
    </row>
    <row r="459" spans="1:10">
      <c r="B459" s="48"/>
    </row>
    <row r="460" spans="1:10">
      <c r="B460" s="48"/>
    </row>
    <row r="461" spans="1:10">
      <c r="B461" s="48"/>
    </row>
    <row r="462" spans="1:10">
      <c r="B462" s="48"/>
    </row>
    <row r="463" spans="1:10">
      <c r="B463" s="48"/>
    </row>
    <row r="464" spans="1:10">
      <c r="B464" s="48"/>
    </row>
    <row r="465" spans="2:2">
      <c r="B465" s="48"/>
    </row>
    <row r="466" spans="2:2">
      <c r="B466" s="48"/>
    </row>
    <row r="467" spans="2:2">
      <c r="B467" s="48"/>
    </row>
  </sheetData>
  <autoFilter ref="A4:WVR452"/>
  <mergeCells count="32">
    <mergeCell ref="J448:J449"/>
    <mergeCell ref="F448:F449"/>
    <mergeCell ref="G448:G449"/>
    <mergeCell ref="H448:H449"/>
    <mergeCell ref="I448:I449"/>
    <mergeCell ref="A448:A449"/>
    <mergeCell ref="B448:B449"/>
    <mergeCell ref="C448:C449"/>
    <mergeCell ref="D448:D449"/>
    <mergeCell ref="E448:E449"/>
    <mergeCell ref="A5:J5"/>
    <mergeCell ref="A136:J136"/>
    <mergeCell ref="A408:J408"/>
    <mergeCell ref="A287:J287"/>
    <mergeCell ref="A284:J284"/>
    <mergeCell ref="A281:J281"/>
    <mergeCell ref="B447:D447"/>
    <mergeCell ref="A1:J1"/>
    <mergeCell ref="A3:A4"/>
    <mergeCell ref="B3:B4"/>
    <mergeCell ref="C3:C4"/>
    <mergeCell ref="D3:D4"/>
    <mergeCell ref="E3:E4"/>
    <mergeCell ref="F3:F4"/>
    <mergeCell ref="G3:G4"/>
    <mergeCell ref="H3:I3"/>
    <mergeCell ref="A2:J2"/>
    <mergeCell ref="C444:D444"/>
    <mergeCell ref="A443:A445"/>
    <mergeCell ref="C443:D443"/>
    <mergeCell ref="C445:D445"/>
    <mergeCell ref="B446:D446"/>
  </mergeCells>
  <printOptions horizontalCentered="1"/>
  <pageMargins left="0.19685039370078741" right="0.19685039370078741" top="0.19685039370078741" bottom="0.19685039370078741" header="0.31496062992125984" footer="0.31496062992125984"/>
  <pageSetup paperSize="9" scale="75" fitToWidth="0" fitToHeight="0" orientation="landscape" horizontalDpi="180" verticalDpi="180" r:id="rId1"/>
  <ignoredErrors>
    <ignoredError sqref="B283 B286 B304:C304 H304 C319 H319 B451:C451" evalError="1"/>
    <ignoredError sqref="B199 B208 B216 B328 B355 B358 B365 B383 B386 H395 B435" formula="1"/>
    <ignoredError sqref="B319 B19" evalError="1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B1:H36"/>
  <sheetViews>
    <sheetView zoomScaleNormal="100" workbookViewId="0">
      <selection activeCell="E34" sqref="E34"/>
    </sheetView>
  </sheetViews>
  <sheetFormatPr defaultColWidth="19" defaultRowHeight="20.100000000000001" customHeight="1"/>
  <cols>
    <col min="1" max="1" width="8.5703125" style="81" customWidth="1"/>
    <col min="2" max="2" width="15.7109375" style="80" customWidth="1"/>
    <col min="3" max="3" width="15.7109375" style="82" customWidth="1"/>
    <col min="4" max="5" width="15.7109375" style="85" customWidth="1"/>
    <col min="6" max="7" width="15.7109375" style="82" customWidth="1"/>
    <col min="8" max="16384" width="19" style="81"/>
  </cols>
  <sheetData>
    <row r="1" spans="2:8" ht="20.100000000000001" customHeight="1" thickBot="1"/>
    <row r="2" spans="2:8" ht="20.100000000000001" customHeight="1" thickBot="1">
      <c r="B2" s="180"/>
      <c r="C2" s="169"/>
      <c r="D2" s="170" t="s">
        <v>66</v>
      </c>
      <c r="E2" s="170" t="s">
        <v>46</v>
      </c>
      <c r="F2" s="171" t="s">
        <v>68</v>
      </c>
      <c r="G2" s="172" t="s">
        <v>73</v>
      </c>
    </row>
    <row r="3" spans="2:8" ht="20.100000000000001" customHeight="1">
      <c r="B3" s="181">
        <v>44013</v>
      </c>
      <c r="C3" s="195">
        <v>27452</v>
      </c>
      <c r="D3" s="174"/>
      <c r="E3" s="175"/>
      <c r="F3" s="176"/>
      <c r="G3" s="177">
        <f>C3-D3+E3</f>
        <v>27452</v>
      </c>
    </row>
    <row r="4" spans="2:8" ht="20.100000000000001" customHeight="1">
      <c r="B4" s="182">
        <v>44014</v>
      </c>
      <c r="C4" s="196">
        <v>16466881.800000001</v>
      </c>
      <c r="D4" s="99"/>
      <c r="E4" s="76"/>
      <c r="F4" s="88"/>
      <c r="G4" s="101">
        <f t="shared" ref="G4:G33" si="0">C4-D4+E4</f>
        <v>16466881.800000001</v>
      </c>
    </row>
    <row r="5" spans="2:8" ht="20.100000000000001" customHeight="1">
      <c r="B5" s="182">
        <v>44015</v>
      </c>
      <c r="C5" s="196">
        <v>8048438.1699999999</v>
      </c>
      <c r="D5" s="178"/>
      <c r="E5" s="90"/>
      <c r="F5" s="88"/>
      <c r="G5" s="101">
        <f>C5-D5+E5</f>
        <v>8048438.1699999999</v>
      </c>
    </row>
    <row r="6" spans="2:8" ht="20.100000000000001" customHeight="1">
      <c r="B6" s="182">
        <v>44016</v>
      </c>
      <c r="C6" s="196">
        <v>0</v>
      </c>
      <c r="D6" s="167"/>
      <c r="E6" s="131"/>
      <c r="F6" s="168"/>
      <c r="G6" s="101">
        <f t="shared" si="0"/>
        <v>0</v>
      </c>
    </row>
    <row r="7" spans="2:8" ht="20.100000000000001" customHeight="1">
      <c r="B7" s="182">
        <v>44017</v>
      </c>
      <c r="C7" s="196">
        <v>0</v>
      </c>
      <c r="D7" s="76"/>
      <c r="E7" s="76"/>
      <c r="F7" s="88"/>
      <c r="G7" s="101">
        <f t="shared" si="0"/>
        <v>0</v>
      </c>
    </row>
    <row r="8" spans="2:8" ht="20.100000000000001" customHeight="1">
      <c r="B8" s="182">
        <v>44018</v>
      </c>
      <c r="C8" s="196">
        <v>5999841.0999999996</v>
      </c>
      <c r="D8" s="99"/>
      <c r="E8" s="76"/>
      <c r="F8" s="88"/>
      <c r="G8" s="101">
        <f t="shared" si="0"/>
        <v>5999841.0999999996</v>
      </c>
    </row>
    <row r="9" spans="2:8" ht="20.100000000000001" customHeight="1">
      <c r="B9" s="182">
        <v>44019</v>
      </c>
      <c r="C9" s="196">
        <v>23153070.809999999</v>
      </c>
      <c r="D9" s="99"/>
      <c r="E9" s="76"/>
      <c r="F9" s="88"/>
      <c r="G9" s="101">
        <f t="shared" si="0"/>
        <v>23153070.809999999</v>
      </c>
    </row>
    <row r="10" spans="2:8" ht="20.100000000000001" customHeight="1">
      <c r="B10" s="182">
        <v>44020</v>
      </c>
      <c r="C10" s="196">
        <v>8110228</v>
      </c>
      <c r="D10" s="99"/>
      <c r="E10" s="76"/>
      <c r="F10" s="88"/>
      <c r="G10" s="101">
        <f>C10-D10+E10</f>
        <v>8110228</v>
      </c>
    </row>
    <row r="11" spans="2:8" ht="20.100000000000001" customHeight="1">
      <c r="B11" s="182">
        <v>44021</v>
      </c>
      <c r="C11" s="196">
        <v>8561612.0199999996</v>
      </c>
      <c r="D11" s="100"/>
      <c r="E11" s="76"/>
      <c r="F11" s="88"/>
      <c r="G11" s="101">
        <f t="shared" si="0"/>
        <v>8561612.0199999996</v>
      </c>
    </row>
    <row r="12" spans="2:8" ht="20.100000000000001" customHeight="1">
      <c r="B12" s="182">
        <v>44022</v>
      </c>
      <c r="C12" s="196">
        <v>12034436.460000001</v>
      </c>
      <c r="D12" s="178">
        <v>70522.36</v>
      </c>
      <c r="E12" s="76">
        <f>D12*F12</f>
        <v>4998624.8767999997</v>
      </c>
      <c r="F12" s="88">
        <v>70.88</v>
      </c>
      <c r="G12" s="101">
        <f t="shared" si="0"/>
        <v>16962538.976800002</v>
      </c>
    </row>
    <row r="13" spans="2:8" ht="20.100000000000001" customHeight="1">
      <c r="B13" s="182">
        <v>44023</v>
      </c>
      <c r="C13" s="196">
        <v>0</v>
      </c>
      <c r="D13" s="99"/>
      <c r="E13" s="76"/>
      <c r="F13" s="88"/>
      <c r="G13" s="101">
        <f t="shared" si="0"/>
        <v>0</v>
      </c>
    </row>
    <row r="14" spans="2:8" ht="20.100000000000001" customHeight="1">
      <c r="B14" s="182">
        <v>44024</v>
      </c>
      <c r="C14" s="196">
        <v>61557</v>
      </c>
      <c r="D14" s="77"/>
      <c r="E14" s="76"/>
      <c r="F14" s="88"/>
      <c r="G14" s="101">
        <f t="shared" si="0"/>
        <v>61557</v>
      </c>
    </row>
    <row r="15" spans="2:8" ht="20.100000000000001" customHeight="1">
      <c r="B15" s="182">
        <v>44025</v>
      </c>
      <c r="C15" s="196">
        <v>3868430.52</v>
      </c>
      <c r="D15" s="77"/>
      <c r="E15" s="76"/>
      <c r="F15" s="88"/>
      <c r="G15" s="101">
        <f t="shared" si="0"/>
        <v>3868430.52</v>
      </c>
      <c r="H15" s="85"/>
    </row>
    <row r="16" spans="2:8" ht="20.100000000000001" customHeight="1">
      <c r="B16" s="182">
        <v>44026</v>
      </c>
      <c r="C16" s="196">
        <v>2941399</v>
      </c>
      <c r="D16" s="100"/>
      <c r="E16" s="76"/>
      <c r="F16" s="88"/>
      <c r="G16" s="101">
        <f t="shared" si="0"/>
        <v>2941399</v>
      </c>
    </row>
    <row r="17" spans="2:7" ht="20.100000000000001" customHeight="1">
      <c r="B17" s="182">
        <v>44027</v>
      </c>
      <c r="C17" s="89">
        <v>7672733.5999999996</v>
      </c>
      <c r="D17" s="99"/>
      <c r="E17" s="76"/>
      <c r="F17" s="88"/>
      <c r="G17" s="101">
        <f t="shared" si="0"/>
        <v>7672733.5999999996</v>
      </c>
    </row>
    <row r="18" spans="2:7" ht="20.100000000000001" customHeight="1">
      <c r="B18" s="182">
        <v>44028</v>
      </c>
      <c r="C18" s="196"/>
      <c r="D18" s="178"/>
      <c r="E18" s="76"/>
      <c r="F18" s="88"/>
      <c r="G18" s="101">
        <f t="shared" ref="G18:G23" si="1">C18-D18+E18</f>
        <v>0</v>
      </c>
    </row>
    <row r="19" spans="2:7" ht="20.100000000000001" customHeight="1">
      <c r="B19" s="182">
        <v>44029</v>
      </c>
      <c r="C19" s="196"/>
      <c r="D19" s="83"/>
      <c r="E19" s="83"/>
      <c r="F19" s="88"/>
      <c r="G19" s="101">
        <f t="shared" si="1"/>
        <v>0</v>
      </c>
    </row>
    <row r="20" spans="2:7" ht="20.100000000000001" customHeight="1">
      <c r="B20" s="182">
        <v>44030</v>
      </c>
      <c r="C20" s="196"/>
      <c r="D20" s="99"/>
      <c r="E20" s="76"/>
      <c r="F20" s="88"/>
      <c r="G20" s="101">
        <f t="shared" si="1"/>
        <v>0</v>
      </c>
    </row>
    <row r="21" spans="2:7" ht="20.100000000000001" customHeight="1">
      <c r="B21" s="182">
        <v>44031</v>
      </c>
      <c r="C21" s="196"/>
      <c r="D21" s="178"/>
      <c r="E21" s="76"/>
      <c r="F21" s="88"/>
      <c r="G21" s="101">
        <f t="shared" si="1"/>
        <v>0</v>
      </c>
    </row>
    <row r="22" spans="2:7" ht="20.100000000000001" customHeight="1">
      <c r="B22" s="182">
        <v>44032</v>
      </c>
      <c r="C22" s="196"/>
      <c r="D22" s="83"/>
      <c r="E22" s="76"/>
      <c r="F22" s="88"/>
      <c r="G22" s="101">
        <f t="shared" si="1"/>
        <v>0</v>
      </c>
    </row>
    <row r="23" spans="2:7" ht="20.100000000000001" customHeight="1">
      <c r="B23" s="182">
        <v>44033</v>
      </c>
      <c r="C23" s="196"/>
      <c r="D23" s="83"/>
      <c r="E23" s="83"/>
      <c r="F23" s="88"/>
      <c r="G23" s="101">
        <f t="shared" si="1"/>
        <v>0</v>
      </c>
    </row>
    <row r="24" spans="2:7" ht="20.100000000000001" customHeight="1">
      <c r="B24" s="182">
        <v>44034</v>
      </c>
      <c r="C24" s="196"/>
      <c r="D24" s="178"/>
      <c r="E24" s="76"/>
      <c r="F24" s="88"/>
      <c r="G24" s="101">
        <f t="shared" si="0"/>
        <v>0</v>
      </c>
    </row>
    <row r="25" spans="2:7" ht="20.100000000000001" customHeight="1">
      <c r="B25" s="182">
        <v>44035</v>
      </c>
      <c r="C25" s="196"/>
      <c r="D25" s="83"/>
      <c r="E25" s="83"/>
      <c r="F25" s="88"/>
      <c r="G25" s="101">
        <f t="shared" si="0"/>
        <v>0</v>
      </c>
    </row>
    <row r="26" spans="2:7" ht="20.100000000000001" customHeight="1">
      <c r="B26" s="182">
        <v>44036</v>
      </c>
      <c r="C26" s="196"/>
      <c r="D26" s="83"/>
      <c r="E26" s="83"/>
      <c r="F26" s="88"/>
      <c r="G26" s="101">
        <f t="shared" si="0"/>
        <v>0</v>
      </c>
    </row>
    <row r="27" spans="2:7" ht="20.100000000000001" customHeight="1">
      <c r="B27" s="182">
        <v>44037</v>
      </c>
      <c r="C27" s="196"/>
      <c r="D27" s="83"/>
      <c r="E27" s="83"/>
      <c r="F27" s="88"/>
      <c r="G27" s="101">
        <f t="shared" si="0"/>
        <v>0</v>
      </c>
    </row>
    <row r="28" spans="2:7" ht="20.100000000000001" customHeight="1">
      <c r="B28" s="182">
        <v>44038</v>
      </c>
      <c r="C28" s="89">
        <v>49778705.109999999</v>
      </c>
      <c r="D28" s="83"/>
      <c r="E28" s="83"/>
      <c r="F28" s="88"/>
      <c r="G28" s="101">
        <f t="shared" si="0"/>
        <v>49778705.109999999</v>
      </c>
    </row>
    <row r="29" spans="2:7" ht="20.100000000000001" customHeight="1">
      <c r="B29" s="182">
        <v>44039</v>
      </c>
      <c r="C29" s="89">
        <v>15239198.01</v>
      </c>
      <c r="D29" s="178">
        <v>91034.37</v>
      </c>
      <c r="E29" s="76">
        <f>D29*F29</f>
        <v>6517824.2026379993</v>
      </c>
      <c r="F29" s="88">
        <v>71.597399999999993</v>
      </c>
      <c r="G29" s="101">
        <f t="shared" si="0"/>
        <v>21665987.842638001</v>
      </c>
    </row>
    <row r="30" spans="2:7" ht="20.100000000000001" customHeight="1">
      <c r="B30" s="182">
        <v>44040</v>
      </c>
      <c r="C30" s="89">
        <v>9285741.3000000007</v>
      </c>
      <c r="D30" s="99"/>
      <c r="E30" s="76"/>
      <c r="F30" s="88"/>
      <c r="G30" s="101">
        <f t="shared" si="0"/>
        <v>9285741.3000000007</v>
      </c>
    </row>
    <row r="31" spans="2:7" ht="20.100000000000001" customHeight="1">
      <c r="B31" s="182">
        <v>44041</v>
      </c>
      <c r="C31" s="89">
        <v>4972876.24</v>
      </c>
      <c r="D31" s="178">
        <v>58508.29</v>
      </c>
      <c r="E31" s="76">
        <f>D31*F31</f>
        <v>4207892.813484</v>
      </c>
      <c r="F31" s="88">
        <v>71.919600000000003</v>
      </c>
      <c r="G31" s="101">
        <f t="shared" si="0"/>
        <v>9122260.7634840012</v>
      </c>
    </row>
    <row r="32" spans="2:7" ht="20.100000000000001" customHeight="1">
      <c r="B32" s="182">
        <v>44042</v>
      </c>
      <c r="C32" s="89">
        <v>3878527.88</v>
      </c>
      <c r="D32" s="76"/>
      <c r="E32" s="76"/>
      <c r="F32" s="88"/>
      <c r="G32" s="101">
        <f t="shared" si="0"/>
        <v>3878527.88</v>
      </c>
    </row>
    <row r="33" spans="2:7" ht="20.100000000000001" customHeight="1" thickBot="1">
      <c r="B33" s="183">
        <v>44043</v>
      </c>
      <c r="C33" s="89">
        <v>12922805.550000001</v>
      </c>
      <c r="D33" s="230">
        <v>110536.05</v>
      </c>
      <c r="E33" s="231">
        <f>D33*F33</f>
        <v>8109289.3969649998</v>
      </c>
      <c r="F33" s="163">
        <v>73.363299999999995</v>
      </c>
      <c r="G33" s="164">
        <f t="shared" si="0"/>
        <v>20921558.896965001</v>
      </c>
    </row>
    <row r="34" spans="2:7" ht="20.100000000000001" customHeight="1">
      <c r="B34" s="97"/>
      <c r="C34" s="98"/>
      <c r="D34" s="98">
        <f>SUM(D3:D33)</f>
        <v>330601.07</v>
      </c>
      <c r="E34" s="98">
        <f>SUM(E3:E33)</f>
        <v>23833631.289887</v>
      </c>
    </row>
    <row r="35" spans="2:7" ht="20.100000000000001" customHeight="1" thickBot="1">
      <c r="B35" s="130"/>
      <c r="C35" s="131"/>
      <c r="D35" s="84" t="s">
        <v>40</v>
      </c>
    </row>
    <row r="36" spans="2:7" ht="20.100000000000001" customHeight="1" thickBot="1">
      <c r="B36" s="132" t="s">
        <v>37</v>
      </c>
      <c r="C36" s="133">
        <f>SUM(C3:C33)-D34+E34</f>
        <v>216526964.78988701</v>
      </c>
      <c r="D36" s="89">
        <v>193023934.56999999</v>
      </c>
      <c r="E36" s="86">
        <f>C36-E34+D34-D36</f>
        <v>0</v>
      </c>
    </row>
  </sheetData>
  <pageMargins left="0.11811023622047245" right="0.11811023622047245" top="0.74803149606299213" bottom="0.74803149606299213" header="0.31496062992125984" footer="0.31496062992125984"/>
  <pageSetup paperSize="9" scale="9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</vt:i4>
      </vt:variant>
    </vt:vector>
  </HeadingPairs>
  <TitlesOfParts>
    <vt:vector size="3" baseType="lpstr">
      <vt:lpstr>Июнь 2020</vt:lpstr>
      <vt:lpstr>Приход ДС</vt:lpstr>
      <vt:lpstr>'Июнь 2020'!Область_печати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2020-08-07T14:57:16Z</dcterms:modified>
</cp:coreProperties>
</file>