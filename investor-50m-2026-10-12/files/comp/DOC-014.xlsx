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70" windowHeight="1200"/>
  </bookViews>
  <sheets>
    <sheet name="план май" sheetId="12" r:id="rId1"/>
    <sheet name="краткий май" sheetId="13" r:id="rId2"/>
  </sheets>
  <definedNames>
    <definedName name="_xlnm.Print_Area" localSheetId="0">'план май'!$A$1:$F$64</definedName>
  </definedNames>
  <calcPr calcId="152511"/>
</workbook>
</file>

<file path=xl/calcChain.xml><?xml version="1.0" encoding="utf-8"?>
<calcChain xmlns="http://schemas.openxmlformats.org/spreadsheetml/2006/main">
  <c r="G27" i="12" l="1"/>
  <c r="G49" i="12" s="1"/>
  <c r="H49" i="12"/>
  <c r="F23" i="12" l="1"/>
  <c r="D23" i="12"/>
  <c r="D27" i="12" l="1"/>
  <c r="F27" i="12" l="1"/>
  <c r="G21" i="12" l="1"/>
  <c r="F21" i="12"/>
  <c r="D21" i="12"/>
  <c r="F42" i="12" l="1"/>
  <c r="G12" i="12" l="1"/>
  <c r="H55" i="12" s="1"/>
  <c r="F12" i="12"/>
  <c r="D12" i="12"/>
  <c r="F46" i="12" l="1"/>
  <c r="D46" i="12"/>
  <c r="G46" i="12" l="1"/>
  <c r="G11" i="12"/>
  <c r="F11" i="12"/>
  <c r="D11" i="12"/>
  <c r="D20" i="12"/>
  <c r="F20" i="12"/>
  <c r="G20" i="12" l="1"/>
  <c r="G14" i="12"/>
  <c r="G13" i="12"/>
  <c r="G7" i="12" l="1"/>
  <c r="G8" i="12"/>
  <c r="G10" i="12"/>
  <c r="G16" i="12"/>
  <c r="G17" i="12"/>
  <c r="G19" i="12"/>
  <c r="G23" i="12"/>
  <c r="G25" i="12"/>
  <c r="G26" i="12"/>
  <c r="G28" i="12"/>
  <c r="G29" i="12"/>
  <c r="G30" i="12"/>
  <c r="G33" i="12"/>
  <c r="G34" i="12"/>
  <c r="G35" i="12"/>
  <c r="G37" i="12"/>
  <c r="G38" i="12"/>
  <c r="G39" i="12"/>
  <c r="G40" i="12"/>
  <c r="G41" i="12"/>
  <c r="G42" i="12"/>
  <c r="G43" i="12"/>
  <c r="G44" i="12"/>
  <c r="G45" i="12"/>
  <c r="G47" i="12"/>
  <c r="F35" i="12"/>
  <c r="D35" i="12"/>
  <c r="F41" i="12"/>
  <c r="D41" i="12"/>
  <c r="F40" i="12"/>
  <c r="D40" i="12"/>
  <c r="F43" i="12" l="1"/>
  <c r="D43" i="12"/>
  <c r="D42" i="12"/>
  <c r="F34" i="12"/>
  <c r="F39" i="12"/>
  <c r="F45" i="12"/>
  <c r="F44" i="12"/>
  <c r="D45" i="12"/>
  <c r="D39" i="12"/>
  <c r="D34" i="12" l="1"/>
  <c r="B36" i="12"/>
  <c r="G36" i="12" s="1"/>
  <c r="D37" i="12"/>
  <c r="F37" i="12"/>
  <c r="D38" i="12"/>
  <c r="F38" i="12"/>
  <c r="D44" i="12"/>
  <c r="D47" i="12"/>
  <c r="B48" i="12"/>
  <c r="G48" i="12" s="1"/>
  <c r="F47" i="12" l="1"/>
  <c r="D36" i="12"/>
  <c r="C36" i="12" s="1"/>
  <c r="D48" i="12"/>
  <c r="C48" i="12" s="1"/>
  <c r="B20" i="13"/>
  <c r="F17" i="12" l="1"/>
  <c r="D26" i="12"/>
  <c r="F26" i="12" l="1"/>
  <c r="D29" i="12" l="1"/>
  <c r="F29" i="12"/>
  <c r="D30" i="12" l="1"/>
  <c r="F30" i="12"/>
  <c r="B18" i="12" l="1"/>
  <c r="G18" i="12" s="1"/>
  <c r="F14" i="12" l="1"/>
  <c r="D17" i="12" l="1"/>
  <c r="D18" i="12" s="1"/>
  <c r="C18" i="12" s="1"/>
  <c r="B31" i="12" l="1"/>
  <c r="G31" i="12" s="1"/>
  <c r="B24" i="12"/>
  <c r="G24" i="12" s="1"/>
  <c r="B15" i="12"/>
  <c r="G15" i="12" s="1"/>
  <c r="B9" i="12"/>
  <c r="G9" i="12" s="1"/>
  <c r="B32" i="12" l="1"/>
  <c r="B17" i="13"/>
  <c r="B49" i="12" l="1"/>
  <c r="G32" i="12"/>
  <c r="J50" i="12" l="1"/>
  <c r="J51" i="12"/>
  <c r="J52" i="12"/>
  <c r="J53" i="12"/>
  <c r="J54" i="12"/>
  <c r="J55" i="12"/>
  <c r="J49" i="12"/>
  <c r="F13" i="12" l="1"/>
  <c r="D28" i="12" l="1"/>
  <c r="B19" i="13" l="1"/>
  <c r="B16" i="13"/>
  <c r="B15" i="13" l="1"/>
  <c r="B18" i="13"/>
  <c r="B21" i="13" l="1"/>
  <c r="B22" i="13" s="1"/>
  <c r="C22" i="13"/>
  <c r="C21" i="13"/>
  <c r="C15" i="13"/>
  <c r="B54" i="12"/>
  <c r="F28" i="12"/>
  <c r="F22" i="12"/>
  <c r="D22" i="12"/>
  <c r="D14" i="12"/>
  <c r="D13" i="12"/>
  <c r="F8" i="12"/>
  <c r="D8" i="12"/>
  <c r="F7" i="12"/>
  <c r="D7" i="12"/>
  <c r="E19" i="13" l="1"/>
  <c r="D19" i="13" s="1"/>
  <c r="D31" i="12"/>
  <c r="C31" i="12" s="1"/>
  <c r="E16" i="13"/>
  <c r="D16" i="13" s="1"/>
  <c r="C19" i="13"/>
  <c r="E15" i="13"/>
  <c r="D15" i="13" s="1"/>
  <c r="C16" i="13"/>
  <c r="E21" i="13"/>
  <c r="D9" i="12"/>
  <c r="D24" i="12"/>
  <c r="C24" i="12" s="1"/>
  <c r="D15" i="12"/>
  <c r="C15" i="12" s="1"/>
  <c r="C18" i="13"/>
  <c r="E18" i="13"/>
  <c r="D18" i="13" s="1"/>
  <c r="C9" i="12" l="1"/>
  <c r="D32" i="12"/>
  <c r="C32" i="12" s="1"/>
  <c r="E22" i="13"/>
  <c r="D22" i="13" s="1"/>
  <c r="D49" i="12" l="1"/>
  <c r="C49" i="12" s="1"/>
</calcChain>
</file>

<file path=xl/sharedStrings.xml><?xml version="1.0" encoding="utf-8"?>
<sst xmlns="http://schemas.openxmlformats.org/spreadsheetml/2006/main" count="99" uniqueCount="76">
  <si>
    <t>Покупатель</t>
  </si>
  <si>
    <t>Сумма</t>
  </si>
  <si>
    <t>Стоимость доставки, руб/тн</t>
  </si>
  <si>
    <t>Прочие</t>
  </si>
  <si>
    <t>Всего</t>
  </si>
  <si>
    <t>Исполнительный директор</t>
  </si>
  <si>
    <t>Н.Н. Слащева</t>
  </si>
  <si>
    <t>Коммерческий директор</t>
  </si>
  <si>
    <t>А.В. Исаев</t>
  </si>
  <si>
    <t>Зам. коммерческого директора</t>
  </si>
  <si>
    <t>Б.Л. Григорян</t>
  </si>
  <si>
    <t>Цена FCA, руб/тн с НДС</t>
  </si>
  <si>
    <t>Объем, тн</t>
  </si>
  <si>
    <t>Сумма, руб с НДС</t>
  </si>
  <si>
    <t>Всего щебня</t>
  </si>
  <si>
    <t>УТВЕРЖДАЮ</t>
  </si>
  <si>
    <t>План производства  щебня всех фракций</t>
  </si>
  <si>
    <t>План производства  щебня 5*20 на сентябрь</t>
  </si>
  <si>
    <t>План производства  щебня 20*40 на сентябрь</t>
  </si>
  <si>
    <t>План производства  щебня 40*70 на сентябрь</t>
  </si>
  <si>
    <t>План производства  щебня 70*120 на сентябрь</t>
  </si>
  <si>
    <t>Ведущий специалист коммерческой службы</t>
  </si>
  <si>
    <t>Т.А. Зубко</t>
  </si>
  <si>
    <t>Вед. специалист коммерческой службы</t>
  </si>
  <si>
    <t>наименование</t>
  </si>
  <si>
    <t>В.И. Быков</t>
  </si>
  <si>
    <t>М-неруд</t>
  </si>
  <si>
    <t>Новомосковский Хлор</t>
  </si>
  <si>
    <t xml:space="preserve">М-неруд </t>
  </si>
  <si>
    <t>Щебень  фр. 5-20 мм</t>
  </si>
  <si>
    <t>Итого Щебень  фр. 5-20 мм</t>
  </si>
  <si>
    <t>Щебень фр. 20-40 мм</t>
  </si>
  <si>
    <t>Итого Щебень  фр. 20-40 мм</t>
  </si>
  <si>
    <t>Щебень  дорожный  фр. 40-70 мм</t>
  </si>
  <si>
    <t>Итого Щебень  дорожный фр.40-70 мм</t>
  </si>
  <si>
    <t>Щебень  металлургический  фр. 40-70 мм</t>
  </si>
  <si>
    <t>Итого Щебень металлургический фр.40-70 мм</t>
  </si>
  <si>
    <t>Итого Щебень фр.40-70 мм</t>
  </si>
  <si>
    <t>Щебень  металлургический фр. 70-120 мм</t>
  </si>
  <si>
    <t>ИТОГО Щебень металлургический фр.70-120 мм</t>
  </si>
  <si>
    <t>Щебень  фр. 20-40 мм</t>
  </si>
  <si>
    <t>Щебень  металлургический фр. 40-70 мм</t>
  </si>
  <si>
    <t>Щебень  дорожный фр. 40-70 мм</t>
  </si>
  <si>
    <t>КМЗ</t>
  </si>
  <si>
    <t>Цена FCA, руб/тн без НДС</t>
  </si>
  <si>
    <t>Сумма, руб без НДС</t>
  </si>
  <si>
    <t>Цена с доставкой, руб/тн без НДС</t>
  </si>
  <si>
    <t>Стоимость доставки(ЖД, авто), руб/тн безНДС</t>
  </si>
  <si>
    <t>план</t>
  </si>
  <si>
    <t>без ндс</t>
  </si>
  <si>
    <t>Щебень фр. 20-50 мм</t>
  </si>
  <si>
    <t>Итого Щебень  фр. 20-50 мм</t>
  </si>
  <si>
    <t>БМЗ</t>
  </si>
  <si>
    <t>Щебень металлургический  фр. 20-50 мм</t>
  </si>
  <si>
    <t>Оскол ТД</t>
  </si>
  <si>
    <t>Фельс Известь г.Калуга ООО(самовывоз)</t>
  </si>
  <si>
    <t>Укрхимфлюсы</t>
  </si>
  <si>
    <t>Укрхимтрейдинг</t>
  </si>
  <si>
    <t>Дмитротарановский СЗ</t>
  </si>
  <si>
    <t>Бежицкая сталь</t>
  </si>
  <si>
    <t>Дата        .       .2021 г.</t>
  </si>
  <si>
    <t>Щебень  металлургический фр. 70-90 мм</t>
  </si>
  <si>
    <t>Итого Щебень  металлургический фр. 70-90 мм</t>
  </si>
  <si>
    <t>Елань-Коленовский СЗ</t>
  </si>
  <si>
    <t>Ольховатский СЗ</t>
  </si>
  <si>
    <t>КСП-Золотухинский</t>
  </si>
  <si>
    <t>КСП-Любимовский</t>
  </si>
  <si>
    <t>Земетчинский СЗ</t>
  </si>
  <si>
    <t>Кристалл</t>
  </si>
  <si>
    <t>Эртильский сахарник</t>
  </si>
  <si>
    <t>Отрадинский СЗ</t>
  </si>
  <si>
    <t>Брянскавтодор</t>
  </si>
  <si>
    <t>План реализации Щебня в мае 2021 г.</t>
  </si>
  <si>
    <t>План реализации щебня  в мае 2021 г.</t>
  </si>
  <si>
    <t>План реализации на май 2021 г.</t>
  </si>
  <si>
    <t>ДорЭлит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</si>
</sst>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24"/>
      <name val="Arial Cyr"/>
      <charset val="204"/>
    </font>
    <font>
      <sz val="16"/>
      <name val="Arial Cyr"/>
      <charset val="204"/>
    </font>
    <font>
      <sz val="14"/>
      <name val="Arial Cyr"/>
      <charset val="204"/>
    </font>
    <font>
      <b/>
      <sz val="18"/>
      <name val="Arial Cyr"/>
      <charset val="204"/>
    </font>
    <font>
      <b/>
      <i/>
      <sz val="16"/>
      <name val="Arial Cyr"/>
      <charset val="204"/>
    </font>
    <font>
      <b/>
      <sz val="16"/>
      <name val="Arial Cyr"/>
      <charset val="204"/>
    </font>
    <font>
      <b/>
      <i/>
      <sz val="14"/>
      <name val="Arial Cyr"/>
      <charset val="204"/>
    </font>
    <font>
      <sz val="16"/>
      <name val="Arial"/>
      <family val="2"/>
      <charset val="204"/>
    </font>
    <font>
      <sz val="24"/>
      <name val="Times New Roman"/>
      <family val="1"/>
      <charset val="204"/>
    </font>
    <font>
      <sz val="22"/>
      <name val="Arial"/>
      <family val="2"/>
      <charset val="204"/>
    </font>
    <font>
      <sz val="24"/>
      <name val="Arial Cyr"/>
      <charset val="204"/>
    </font>
    <font>
      <sz val="10"/>
      <name val="Arial"/>
      <family val="2"/>
      <charset val="204"/>
    </font>
    <font>
      <sz val="22"/>
      <name val="Arial Narrow"/>
      <family val="2"/>
      <charset val="204"/>
    </font>
    <font>
      <b/>
      <sz val="14"/>
      <name val="Arial Cyr"/>
      <charset val="204"/>
    </font>
    <font>
      <b/>
      <sz val="24"/>
      <color indexed="8"/>
      <name val="Calibri"/>
      <family val="2"/>
      <charset val="204"/>
    </font>
    <font>
      <sz val="22"/>
      <name val="Calibri"/>
      <family val="2"/>
      <charset val="204"/>
    </font>
    <font>
      <b/>
      <sz val="22"/>
      <name val="Arial Cyr"/>
      <charset val="204"/>
    </font>
    <font>
      <sz val="12"/>
      <color theme="1"/>
      <name val="Calibri"/>
      <family val="2"/>
      <charset val="204"/>
      <scheme val="minor"/>
    </font>
    <font>
      <b/>
      <sz val="20"/>
      <name val="Arial"/>
      <family val="2"/>
      <charset val="204"/>
    </font>
    <font>
      <b/>
      <sz val="22"/>
      <name val="Arial"/>
      <family val="2"/>
      <charset val="204"/>
    </font>
    <font>
      <b/>
      <sz val="22"/>
      <name val="Arial Narrow"/>
      <family val="2"/>
      <charset val="204"/>
    </font>
    <font>
      <b/>
      <sz val="22"/>
      <color indexed="8"/>
      <name val="Arial"/>
      <family val="2"/>
      <charset val="204"/>
    </font>
    <font>
      <b/>
      <sz val="22"/>
      <name val="Times New Roman"/>
      <family val="1"/>
      <charset val="204"/>
    </font>
    <font>
      <b/>
      <sz val="22"/>
      <color theme="1"/>
      <name val="Calibri"/>
      <family val="2"/>
      <charset val="204"/>
      <scheme val="minor"/>
    </font>
    <font>
      <b/>
      <i/>
      <sz val="22"/>
      <name val="Arial Cyr"/>
      <charset val="204"/>
    </font>
    <font>
      <sz val="14"/>
      <color theme="1"/>
      <name val="Calibri"/>
      <family val="2"/>
      <charset val="204"/>
      <scheme val="minor"/>
    </font>
    <font>
      <sz val="18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2">
    <xf numFmtId="0" fontId="0" fillId="0" borderId="0" xfId="0"/>
    <xf numFmtId="0" fontId="0" fillId="0" borderId="0" xfId="0" applyAlignment="1">
      <alignment vertical="center"/>
    </xf>
    <xf numFmtId="0" fontId="3" fillId="0" borderId="0" xfId="2" applyFont="1" applyFill="1"/>
    <xf numFmtId="0" fontId="4" fillId="0" borderId="0" xfId="2" applyFont="1" applyFill="1"/>
    <xf numFmtId="0" fontId="5" fillId="0" borderId="0" xfId="2" applyFont="1" applyFill="1"/>
    <xf numFmtId="0" fontId="10" fillId="0" borderId="0" xfId="2" applyFont="1" applyFill="1" applyBorder="1" applyAlignment="1">
      <alignment horizontal="left"/>
    </xf>
    <xf numFmtId="0" fontId="10" fillId="0" borderId="0" xfId="2" applyFont="1" applyFill="1" applyBorder="1"/>
    <xf numFmtId="0" fontId="0" fillId="0" borderId="0" xfId="0" applyBorder="1"/>
    <xf numFmtId="0" fontId="10" fillId="0" borderId="0" xfId="2" applyFont="1" applyFill="1" applyAlignment="1">
      <alignment vertical="center"/>
    </xf>
    <xf numFmtId="0" fontId="10" fillId="0" borderId="0" xfId="2" applyFont="1" applyFill="1"/>
    <xf numFmtId="0" fontId="12" fillId="0" borderId="0" xfId="2" applyFont="1" applyFill="1" applyBorder="1"/>
    <xf numFmtId="0" fontId="10" fillId="0" borderId="0" xfId="2" applyFont="1" applyFill="1" applyAlignment="1">
      <alignment horizontal="left"/>
    </xf>
    <xf numFmtId="0" fontId="13" fillId="0" borderId="0" xfId="0" applyFont="1" applyFill="1" applyBorder="1"/>
    <xf numFmtId="0" fontId="12" fillId="0" borderId="0" xfId="2" applyFont="1" applyFill="1" applyBorder="1" applyAlignment="1">
      <alignment vertical="center"/>
    </xf>
    <xf numFmtId="0" fontId="14" fillId="0" borderId="0" xfId="2" applyFont="1" applyFill="1" applyBorder="1"/>
    <xf numFmtId="0" fontId="14" fillId="0" borderId="0" xfId="2" applyFont="1" applyFill="1" applyBorder="1" applyAlignment="1">
      <alignment horizontal="left"/>
    </xf>
    <xf numFmtId="3" fontId="7" fillId="0" borderId="0" xfId="2" applyNumberFormat="1" applyFont="1" applyFill="1" applyBorder="1" applyAlignment="1">
      <alignment horizontal="center" vertical="center"/>
    </xf>
    <xf numFmtId="1" fontId="7" fillId="0" borderId="0" xfId="2" applyNumberFormat="1" applyFont="1" applyFill="1" applyBorder="1" applyAlignment="1">
      <alignment horizontal="center" vertical="center"/>
    </xf>
    <xf numFmtId="0" fontId="9" fillId="0" borderId="0" xfId="0" applyFont="1" applyFill="1" applyBorder="1"/>
    <xf numFmtId="0" fontId="14" fillId="0" borderId="0" xfId="2" applyFont="1" applyFill="1" applyBorder="1" applyAlignment="1">
      <alignment horizontal="right"/>
    </xf>
    <xf numFmtId="0" fontId="0" fillId="0" borderId="0" xfId="0" applyFill="1" applyBorder="1"/>
    <xf numFmtId="0" fontId="0" fillId="0" borderId="0" xfId="0" applyFill="1"/>
    <xf numFmtId="0" fontId="16" fillId="0" borderId="0" xfId="0" applyFont="1"/>
    <xf numFmtId="0" fontId="16" fillId="0" borderId="0" xfId="0" applyFont="1" applyBorder="1"/>
    <xf numFmtId="0" fontId="16" fillId="0" borderId="8" xfId="0" applyFont="1" applyBorder="1"/>
    <xf numFmtId="0" fontId="11" fillId="0" borderId="0" xfId="2" applyFont="1" applyFill="1" applyBorder="1"/>
    <xf numFmtId="0" fontId="8" fillId="0" borderId="4" xfId="2" applyFont="1" applyFill="1" applyBorder="1" applyAlignment="1">
      <alignment horizontal="center" vertical="center" wrapText="1"/>
    </xf>
    <xf numFmtId="0" fontId="15" fillId="0" borderId="10" xfId="2" applyFont="1" applyFill="1" applyBorder="1" applyAlignment="1">
      <alignment horizontal="center" vertical="center" wrapText="1"/>
    </xf>
    <xf numFmtId="0" fontId="11" fillId="0" borderId="0" xfId="2" applyFont="1" applyFill="1" applyAlignment="1">
      <alignment vertical="center"/>
    </xf>
    <xf numFmtId="0" fontId="11" fillId="0" borderId="0" xfId="2" applyFont="1" applyFill="1" applyBorder="1" applyAlignment="1">
      <alignment horizontal="left"/>
    </xf>
    <xf numFmtId="0" fontId="17" fillId="0" borderId="0" xfId="2" applyFont="1" applyFill="1"/>
    <xf numFmtId="0" fontId="17" fillId="0" borderId="0" xfId="2" applyFont="1" applyFill="1" applyBorder="1" applyAlignment="1">
      <alignment horizontal="right"/>
    </xf>
    <xf numFmtId="0" fontId="17" fillId="0" borderId="0" xfId="2" applyFont="1" applyFill="1" applyBorder="1"/>
    <xf numFmtId="0" fontId="17" fillId="0" borderId="0" xfId="2" applyFont="1" applyFill="1" applyAlignment="1">
      <alignment vertical="center"/>
    </xf>
    <xf numFmtId="1" fontId="18" fillId="0" borderId="1" xfId="2" applyNumberFormat="1" applyFont="1" applyFill="1" applyBorder="1" applyAlignment="1">
      <alignment horizontal="left" vertical="center" indent="1"/>
    </xf>
    <xf numFmtId="3" fontId="18" fillId="0" borderId="2" xfId="2" applyNumberFormat="1" applyFont="1" applyFill="1" applyBorder="1" applyAlignment="1">
      <alignment horizontal="center" vertical="center"/>
    </xf>
    <xf numFmtId="0" fontId="11" fillId="0" borderId="3" xfId="0" applyFont="1" applyFill="1" applyBorder="1"/>
    <xf numFmtId="1" fontId="18" fillId="0" borderId="9" xfId="2" applyNumberFormat="1" applyFont="1" applyFill="1" applyBorder="1" applyAlignment="1">
      <alignment horizontal="left" vertical="center" indent="1"/>
    </xf>
    <xf numFmtId="3" fontId="18" fillId="0" borderId="7" xfId="2" applyNumberFormat="1" applyFont="1" applyFill="1" applyBorder="1" applyAlignment="1">
      <alignment horizontal="center" vertical="center"/>
    </xf>
    <xf numFmtId="1" fontId="18" fillId="0" borderId="0" xfId="2" applyNumberFormat="1" applyFont="1" applyFill="1" applyBorder="1" applyAlignment="1">
      <alignment horizontal="left" vertical="center" indent="1"/>
    </xf>
    <xf numFmtId="3" fontId="18" fillId="0" borderId="0" xfId="2" applyNumberFormat="1" applyFont="1" applyFill="1" applyBorder="1" applyAlignment="1">
      <alignment horizontal="center" vertical="center"/>
    </xf>
    <xf numFmtId="1" fontId="18" fillId="0" borderId="0" xfId="2" applyNumberFormat="1" applyFont="1" applyFill="1" applyBorder="1" applyAlignment="1">
      <alignment horizontal="center" vertical="center"/>
    </xf>
    <xf numFmtId="0" fontId="11" fillId="0" borderId="0" xfId="0" applyFont="1" applyFill="1" applyBorder="1"/>
    <xf numFmtId="3" fontId="18" fillId="0" borderId="3" xfId="2" applyNumberFormat="1" applyFont="1" applyFill="1" applyBorder="1" applyAlignment="1">
      <alignment horizontal="center" vertical="center"/>
    </xf>
    <xf numFmtId="3" fontId="18" fillId="0" borderId="11" xfId="2" applyNumberFormat="1" applyFont="1" applyFill="1" applyBorder="1" applyAlignment="1">
      <alignment horizontal="center" vertical="center"/>
    </xf>
    <xf numFmtId="0" fontId="8" fillId="0" borderId="17" xfId="2" applyFont="1" applyFill="1" applyBorder="1" applyAlignment="1">
      <alignment horizontal="center" vertical="center" wrapText="1"/>
    </xf>
    <xf numFmtId="1" fontId="18" fillId="0" borderId="16" xfId="2" applyNumberFormat="1" applyFont="1" applyFill="1" applyBorder="1" applyAlignment="1">
      <alignment horizontal="left" vertical="center" indent="1"/>
    </xf>
    <xf numFmtId="1" fontId="18" fillId="0" borderId="14" xfId="2" applyNumberFormat="1" applyFont="1" applyFill="1" applyBorder="1" applyAlignment="1">
      <alignment horizontal="left" vertical="center" indent="1"/>
    </xf>
    <xf numFmtId="1" fontId="18" fillId="0" borderId="18" xfId="2" applyNumberFormat="1" applyFont="1" applyFill="1" applyBorder="1" applyAlignment="1">
      <alignment horizontal="center" vertical="center"/>
    </xf>
    <xf numFmtId="3" fontId="18" fillId="0" borderId="16" xfId="2" applyNumberFormat="1" applyFont="1" applyFill="1" applyBorder="1" applyAlignment="1">
      <alignment horizontal="center" vertical="center"/>
    </xf>
    <xf numFmtId="3" fontId="18" fillId="0" borderId="5" xfId="2" applyNumberFormat="1" applyFont="1" applyFill="1" applyBorder="1" applyAlignment="1">
      <alignment horizontal="center" vertical="center"/>
    </xf>
    <xf numFmtId="0" fontId="6" fillId="0" borderId="13" xfId="2" applyFont="1" applyFill="1" applyBorder="1" applyAlignment="1">
      <alignment horizontal="center" vertical="center"/>
    </xf>
    <xf numFmtId="0" fontId="6" fillId="0" borderId="16" xfId="2" applyFont="1" applyFill="1" applyBorder="1" applyAlignment="1">
      <alignment horizontal="center" vertical="center" wrapText="1"/>
    </xf>
    <xf numFmtId="0" fontId="20" fillId="0" borderId="0" xfId="2" applyFont="1" applyFill="1"/>
    <xf numFmtId="0" fontId="21" fillId="0" borderId="0" xfId="2" applyFont="1" applyFill="1"/>
    <xf numFmtId="0" fontId="20" fillId="0" borderId="0" xfId="2" applyFont="1" applyFill="1" applyBorder="1"/>
    <xf numFmtId="0" fontId="22" fillId="0" borderId="0" xfId="2" applyFont="1" applyFill="1" applyBorder="1" applyAlignment="1">
      <alignment horizontal="left"/>
    </xf>
    <xf numFmtId="3" fontId="0" fillId="0" borderId="0" xfId="0" applyNumberFormat="1"/>
    <xf numFmtId="1" fontId="18" fillId="4" borderId="1" xfId="2" applyNumberFormat="1" applyFont="1" applyFill="1" applyBorder="1" applyAlignment="1">
      <alignment horizontal="left" vertical="center"/>
    </xf>
    <xf numFmtId="3" fontId="18" fillId="4" borderId="2" xfId="2" applyNumberFormat="1" applyFont="1" applyFill="1" applyBorder="1" applyAlignment="1">
      <alignment horizontal="center" vertical="center"/>
    </xf>
    <xf numFmtId="3" fontId="21" fillId="0" borderId="2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1" fontId="18" fillId="4" borderId="1" xfId="2" applyNumberFormat="1" applyFont="1" applyFill="1" applyBorder="1" applyAlignment="1">
      <alignment horizontal="left" vertical="center" indent="1"/>
    </xf>
    <xf numFmtId="1" fontId="21" fillId="0" borderId="3" xfId="0" applyNumberFormat="1" applyFont="1" applyBorder="1" applyAlignment="1">
      <alignment horizontal="center" vertical="center"/>
    </xf>
    <xf numFmtId="1" fontId="18" fillId="4" borderId="1" xfId="2" applyNumberFormat="1" applyFont="1" applyFill="1" applyBorder="1" applyAlignment="1">
      <alignment vertical="center"/>
    </xf>
    <xf numFmtId="3" fontId="21" fillId="4" borderId="3" xfId="0" applyNumberFormat="1" applyFont="1" applyFill="1" applyBorder="1" applyAlignment="1">
      <alignment horizontal="center" vertical="center"/>
    </xf>
    <xf numFmtId="3" fontId="18" fillId="2" borderId="2" xfId="2" applyNumberFormat="1" applyFont="1" applyFill="1" applyBorder="1" applyAlignment="1">
      <alignment horizontal="center" vertical="center"/>
    </xf>
    <xf numFmtId="3" fontId="18" fillId="2" borderId="15" xfId="2" applyNumberFormat="1" applyFont="1" applyFill="1" applyBorder="1" applyAlignment="1">
      <alignment horizontal="center" vertical="center"/>
    </xf>
    <xf numFmtId="1" fontId="18" fillId="2" borderId="0" xfId="2" applyNumberFormat="1" applyFont="1" applyFill="1" applyBorder="1" applyAlignment="1">
      <alignment horizontal="center" vertical="center"/>
    </xf>
    <xf numFmtId="3" fontId="18" fillId="2" borderId="0" xfId="2" applyNumberFormat="1" applyFont="1" applyFill="1" applyBorder="1" applyAlignment="1">
      <alignment horizontal="center" vertical="center"/>
    </xf>
    <xf numFmtId="0" fontId="21" fillId="2" borderId="0" xfId="0" applyFont="1" applyFill="1" applyBorder="1"/>
    <xf numFmtId="0" fontId="21" fillId="2" borderId="0" xfId="0" applyFont="1" applyFill="1" applyBorder="1" applyAlignment="1">
      <alignment vertical="center"/>
    </xf>
    <xf numFmtId="3" fontId="18" fillId="2" borderId="3" xfId="2" applyNumberFormat="1" applyFont="1" applyFill="1" applyBorder="1" applyAlignment="1">
      <alignment horizontal="center" vertical="center"/>
    </xf>
    <xf numFmtId="0" fontId="21" fillId="0" borderId="0" xfId="0" applyFont="1" applyFill="1" applyBorder="1"/>
    <xf numFmtId="0" fontId="21" fillId="0" borderId="0" xfId="0" applyFont="1" applyFill="1" applyBorder="1" applyAlignment="1">
      <alignment vertical="center"/>
    </xf>
    <xf numFmtId="0" fontId="23" fillId="0" borderId="0" xfId="0" applyFont="1"/>
    <xf numFmtId="0" fontId="21" fillId="0" borderId="0" xfId="0" applyFont="1" applyAlignment="1">
      <alignment vertical="center"/>
    </xf>
    <xf numFmtId="0" fontId="21" fillId="0" borderId="0" xfId="2" applyFont="1" applyFill="1" applyBorder="1"/>
    <xf numFmtId="0" fontId="24" fillId="0" borderId="0" xfId="2" applyFont="1" applyFill="1" applyBorder="1"/>
    <xf numFmtId="0" fontId="25" fillId="0" borderId="0" xfId="0" applyFont="1" applyAlignment="1">
      <alignment vertical="center"/>
    </xf>
    <xf numFmtId="0" fontId="21" fillId="0" borderId="0" xfId="2" applyFont="1" applyFill="1" applyAlignment="1">
      <alignment vertical="center"/>
    </xf>
    <xf numFmtId="0" fontId="21" fillId="0" borderId="0" xfId="2" applyFont="1" applyFill="1" applyBorder="1" applyAlignment="1">
      <alignment horizontal="left"/>
    </xf>
    <xf numFmtId="3" fontId="18" fillId="4" borderId="5" xfId="2" applyNumberFormat="1" applyFont="1" applyFill="1" applyBorder="1" applyAlignment="1">
      <alignment horizontal="center" vertical="center"/>
    </xf>
    <xf numFmtId="3" fontId="21" fillId="0" borderId="19" xfId="0" applyNumberFormat="1" applyFont="1" applyBorder="1" applyAlignment="1">
      <alignment horizontal="center" vertical="center"/>
    </xf>
    <xf numFmtId="1" fontId="18" fillId="4" borderId="12" xfId="2" applyNumberFormat="1" applyFont="1" applyFill="1" applyBorder="1" applyAlignment="1">
      <alignment vertical="center"/>
    </xf>
    <xf numFmtId="3" fontId="18" fillId="2" borderId="5" xfId="2" applyNumberFormat="1" applyFont="1" applyFill="1" applyBorder="1" applyAlignment="1">
      <alignment horizontal="center" vertical="center"/>
    </xf>
    <xf numFmtId="0" fontId="26" fillId="0" borderId="7" xfId="2" applyFont="1" applyFill="1" applyBorder="1" applyAlignment="1">
      <alignment horizontal="center" vertical="center" wrapText="1"/>
    </xf>
    <xf numFmtId="0" fontId="18" fillId="0" borderId="7" xfId="2" applyFont="1" applyFill="1" applyBorder="1" applyAlignment="1">
      <alignment horizontal="center" vertical="center" wrapText="1"/>
    </xf>
    <xf numFmtId="0" fontId="18" fillId="0" borderId="11" xfId="2" applyFont="1" applyFill="1" applyBorder="1" applyAlignment="1">
      <alignment horizontal="center" vertical="center" wrapText="1"/>
    </xf>
    <xf numFmtId="1" fontId="18" fillId="5" borderId="20" xfId="2" applyNumberFormat="1" applyFont="1" applyFill="1" applyBorder="1" applyAlignment="1">
      <alignment horizontal="left" vertical="center" indent="1"/>
    </xf>
    <xf numFmtId="3" fontId="18" fillId="5" borderId="21" xfId="2" applyNumberFormat="1" applyFont="1" applyFill="1" applyBorder="1" applyAlignment="1">
      <alignment horizontal="center" vertical="center"/>
    </xf>
    <xf numFmtId="1" fontId="18" fillId="5" borderId="21" xfId="2" applyNumberFormat="1" applyFont="1" applyFill="1" applyBorder="1" applyAlignment="1">
      <alignment horizontal="center" vertical="center"/>
    </xf>
    <xf numFmtId="3" fontId="21" fillId="5" borderId="21" xfId="0" applyNumberFormat="1" applyFont="1" applyFill="1" applyBorder="1" applyAlignment="1">
      <alignment horizontal="center"/>
    </xf>
    <xf numFmtId="0" fontId="21" fillId="5" borderId="22" xfId="0" applyFont="1" applyFill="1" applyBorder="1" applyAlignment="1">
      <alignment vertical="center"/>
    </xf>
    <xf numFmtId="1" fontId="21" fillId="5" borderId="22" xfId="0" applyNumberFormat="1" applyFont="1" applyFill="1" applyBorder="1" applyAlignment="1">
      <alignment horizontal="center" vertical="center"/>
    </xf>
    <xf numFmtId="1" fontId="18" fillId="5" borderId="20" xfId="2" applyNumberFormat="1" applyFont="1" applyFill="1" applyBorder="1" applyAlignment="1">
      <alignment horizontal="left" vertical="center" wrapText="1" indent="1"/>
    </xf>
    <xf numFmtId="1" fontId="18" fillId="5" borderId="22" xfId="2" applyNumberFormat="1" applyFont="1" applyFill="1" applyBorder="1" applyAlignment="1">
      <alignment horizontal="center" vertical="center"/>
    </xf>
    <xf numFmtId="1" fontId="18" fillId="6" borderId="20" xfId="2" applyNumberFormat="1" applyFont="1" applyFill="1" applyBorder="1" applyAlignment="1">
      <alignment horizontal="left" vertical="center" indent="1"/>
    </xf>
    <xf numFmtId="3" fontId="18" fillId="6" borderId="21" xfId="2" applyNumberFormat="1" applyFont="1" applyFill="1" applyBorder="1" applyAlignment="1">
      <alignment horizontal="center" vertical="center"/>
    </xf>
    <xf numFmtId="1" fontId="18" fillId="6" borderId="21" xfId="2" applyNumberFormat="1" applyFont="1" applyFill="1" applyBorder="1" applyAlignment="1">
      <alignment horizontal="center" vertical="center"/>
    </xf>
    <xf numFmtId="1" fontId="21" fillId="6" borderId="21" xfId="0" applyNumberFormat="1" applyFont="1" applyFill="1" applyBorder="1" applyAlignment="1">
      <alignment horizontal="center"/>
    </xf>
    <xf numFmtId="0" fontId="21" fillId="6" borderId="22" xfId="0" applyFont="1" applyFill="1" applyBorder="1" applyAlignment="1">
      <alignment vertical="center"/>
    </xf>
    <xf numFmtId="3" fontId="19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3" fontId="27" fillId="0" borderId="0" xfId="0" applyNumberFormat="1" applyFont="1" applyAlignment="1">
      <alignment vertical="center"/>
    </xf>
    <xf numFmtId="3" fontId="27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18" fillId="0" borderId="2" xfId="2" applyNumberFormat="1" applyFont="1" applyFill="1" applyBorder="1" applyAlignment="1">
      <alignment horizontal="center" vertical="center"/>
    </xf>
    <xf numFmtId="1" fontId="18" fillId="0" borderId="23" xfId="2" applyNumberFormat="1" applyFont="1" applyFill="1" applyBorder="1" applyAlignment="1">
      <alignment horizontal="left" vertical="center" indent="1"/>
    </xf>
    <xf numFmtId="3" fontId="18" fillId="0" borderId="23" xfId="2" applyNumberFormat="1" applyFont="1" applyFill="1" applyBorder="1" applyAlignment="1">
      <alignment horizontal="center" vertical="center"/>
    </xf>
    <xf numFmtId="1" fontId="18" fillId="4" borderId="2" xfId="2" applyNumberFormat="1" applyFont="1" applyFill="1" applyBorder="1" applyAlignment="1">
      <alignment horizontal="left" vertical="center" indent="1"/>
    </xf>
    <xf numFmtId="1" fontId="18" fillId="4" borderId="2" xfId="2" applyNumberFormat="1" applyFont="1" applyFill="1" applyBorder="1" applyAlignment="1">
      <alignment horizontal="left" vertical="center"/>
    </xf>
    <xf numFmtId="1" fontId="18" fillId="4" borderId="18" xfId="2" applyNumberFormat="1" applyFont="1" applyFill="1" applyBorder="1" applyAlignment="1">
      <alignment horizontal="left" vertical="center"/>
    </xf>
    <xf numFmtId="1" fontId="18" fillId="4" borderId="12" xfId="2" applyNumberFormat="1" applyFont="1" applyFill="1" applyBorder="1" applyAlignment="1">
      <alignment horizontal="left" vertical="center"/>
    </xf>
    <xf numFmtId="3" fontId="21" fillId="0" borderId="30" xfId="0" applyNumberFormat="1" applyFont="1" applyBorder="1" applyAlignment="1">
      <alignment horizontal="center" vertical="center"/>
    </xf>
    <xf numFmtId="1" fontId="18" fillId="0" borderId="0" xfId="2" applyNumberFormat="1" applyFont="1" applyFill="1" applyBorder="1" applyAlignment="1">
      <alignment horizontal="left" vertical="center"/>
    </xf>
    <xf numFmtId="1" fontId="18" fillId="3" borderId="20" xfId="2" applyNumberFormat="1" applyFont="1" applyFill="1" applyBorder="1" applyAlignment="1">
      <alignment horizontal="center" vertical="center"/>
    </xf>
    <xf numFmtId="1" fontId="18" fillId="3" borderId="21" xfId="2" applyNumberFormat="1" applyFont="1" applyFill="1" applyBorder="1" applyAlignment="1">
      <alignment horizontal="center" vertical="center"/>
    </xf>
    <xf numFmtId="1" fontId="18" fillId="3" borderId="22" xfId="2" applyNumberFormat="1" applyFont="1" applyFill="1" applyBorder="1" applyAlignment="1">
      <alignment horizontal="center" vertical="center"/>
    </xf>
    <xf numFmtId="0" fontId="18" fillId="3" borderId="27" xfId="2" applyFont="1" applyFill="1" applyBorder="1" applyAlignment="1">
      <alignment horizontal="center" vertical="center"/>
    </xf>
    <xf numFmtId="0" fontId="18" fillId="3" borderId="28" xfId="2" applyFont="1" applyFill="1" applyBorder="1" applyAlignment="1">
      <alignment horizontal="center" vertical="center"/>
    </xf>
    <xf numFmtId="0" fontId="18" fillId="3" borderId="29" xfId="2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wrapText="1"/>
    </xf>
    <xf numFmtId="0" fontId="26" fillId="0" borderId="6" xfId="2" applyFont="1" applyFill="1" applyBorder="1" applyAlignment="1">
      <alignment horizontal="center" vertical="center"/>
    </xf>
    <xf numFmtId="0" fontId="26" fillId="0" borderId="9" xfId="2" applyFont="1" applyFill="1" applyBorder="1" applyAlignment="1">
      <alignment horizontal="center" vertical="center"/>
    </xf>
    <xf numFmtId="0" fontId="18" fillId="0" borderId="4" xfId="2" applyFont="1" applyFill="1" applyBorder="1" applyAlignment="1">
      <alignment horizontal="center" vertical="center"/>
    </xf>
    <xf numFmtId="0" fontId="18" fillId="0" borderId="10" xfId="2" applyFont="1" applyFill="1" applyBorder="1" applyAlignment="1">
      <alignment horizontal="center" vertical="center"/>
    </xf>
    <xf numFmtId="1" fontId="18" fillId="3" borderId="26" xfId="2" applyNumberFormat="1" applyFont="1" applyFill="1" applyBorder="1" applyAlignment="1">
      <alignment horizontal="center" vertical="center"/>
    </xf>
    <xf numFmtId="1" fontId="18" fillId="3" borderId="24" xfId="2" applyNumberFormat="1" applyFont="1" applyFill="1" applyBorder="1" applyAlignment="1">
      <alignment horizontal="center" vertical="center"/>
    </xf>
    <xf numFmtId="1" fontId="18" fillId="3" borderId="25" xfId="2" applyNumberFormat="1" applyFont="1" applyFill="1" applyBorder="1" applyAlignment="1">
      <alignment horizontal="center" vertical="center"/>
    </xf>
    <xf numFmtId="1" fontId="28" fillId="0" borderId="0" xfId="2" applyNumberFormat="1" applyFont="1" applyFill="1" applyBorder="1" applyAlignment="1">
      <alignment horizontal="left" vertical="center" wrapText="1"/>
    </xf>
    <xf numFmtId="0" fontId="2" fillId="0" borderId="0" xfId="1" applyFont="1" applyFill="1" applyBorder="1" applyAlignment="1">
      <alignment horizontal="center" vertical="top" wrapText="1"/>
    </xf>
  </cellXfs>
  <cellStyles count="3">
    <cellStyle name="Обычный" xfId="0" builtinId="0"/>
    <cellStyle name="Обычный_Протокол согласования плановой цены" xfId="1"/>
    <cellStyle name="Обычный_СК_201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86"/>
  <sheetViews>
    <sheetView tabSelected="1" view="pageBreakPreview" topLeftCell="A40" zoomScale="53" zoomScaleNormal="34" zoomScaleSheetLayoutView="53" workbookViewId="0">
      <selection activeCell="G26" sqref="G26:G27"/>
    </sheetView>
  </sheetViews>
  <sheetFormatPr defaultRowHeight="18.75" x14ac:dyDescent="0.25"/>
  <cols>
    <col min="1" max="1" width="127" customWidth="1"/>
    <col min="2" max="2" width="45.7109375" customWidth="1"/>
    <col min="3" max="5" width="55.7109375" customWidth="1"/>
    <col min="6" max="6" width="55.7109375" style="1" customWidth="1"/>
    <col min="7" max="7" width="21" style="1" customWidth="1"/>
    <col min="8" max="8" width="20.7109375" style="103" customWidth="1"/>
    <col min="9" max="9" width="20.7109375" style="104" hidden="1" customWidth="1"/>
    <col min="10" max="10" width="20.7109375" style="57" hidden="1" customWidth="1"/>
    <col min="14" max="14" width="16.42578125" customWidth="1"/>
  </cols>
  <sheetData>
    <row r="1" spans="1:7" ht="39.75" customHeight="1" x14ac:dyDescent="0.25">
      <c r="A1" s="122" t="s">
        <v>73</v>
      </c>
      <c r="B1" s="122"/>
      <c r="C1" s="122"/>
      <c r="D1" s="122"/>
      <c r="E1" s="122"/>
      <c r="F1" s="122"/>
    </row>
    <row r="2" spans="1:7" ht="13.5" customHeight="1" thickBot="1" x14ac:dyDescent="0.3">
      <c r="A2" s="122"/>
      <c r="B2" s="122"/>
      <c r="C2" s="122"/>
      <c r="D2" s="122"/>
      <c r="E2" s="122"/>
      <c r="F2" s="122"/>
    </row>
    <row r="3" spans="1:7" ht="6.75" hidden="1" customHeight="1" thickBot="1" x14ac:dyDescent="0.3">
      <c r="A3" s="122"/>
      <c r="B3" s="122"/>
      <c r="C3" s="122"/>
      <c r="D3" s="122"/>
      <c r="E3" s="122"/>
      <c r="F3" s="122"/>
    </row>
    <row r="4" spans="1:7" ht="45" customHeight="1" x14ac:dyDescent="0.25">
      <c r="A4" s="123" t="s">
        <v>0</v>
      </c>
      <c r="B4" s="125" t="s">
        <v>74</v>
      </c>
      <c r="C4" s="125"/>
      <c r="D4" s="125"/>
      <c r="E4" s="125"/>
      <c r="F4" s="126"/>
    </row>
    <row r="5" spans="1:7" ht="68.25" customHeight="1" thickBot="1" x14ac:dyDescent="0.3">
      <c r="A5" s="124"/>
      <c r="B5" s="86" t="s">
        <v>12</v>
      </c>
      <c r="C5" s="86" t="s">
        <v>44</v>
      </c>
      <c r="D5" s="86" t="s">
        <v>45</v>
      </c>
      <c r="E5" s="87" t="s">
        <v>47</v>
      </c>
      <c r="F5" s="88" t="s">
        <v>46</v>
      </c>
    </row>
    <row r="6" spans="1:7" ht="45" customHeight="1" thickBot="1" x14ac:dyDescent="0.3">
      <c r="A6" s="116" t="s">
        <v>29</v>
      </c>
      <c r="B6" s="117"/>
      <c r="C6" s="117"/>
      <c r="D6" s="117"/>
      <c r="E6" s="117"/>
      <c r="F6" s="118"/>
    </row>
    <row r="7" spans="1:7" ht="45" customHeight="1" x14ac:dyDescent="0.25">
      <c r="A7" s="58" t="s">
        <v>26</v>
      </c>
      <c r="B7" s="59">
        <v>6000</v>
      </c>
      <c r="C7" s="35">
        <v>425</v>
      </c>
      <c r="D7" s="35">
        <f t="shared" ref="D7:D8" si="0">B7*C7</f>
        <v>2550000</v>
      </c>
      <c r="E7" s="60"/>
      <c r="F7" s="61">
        <f t="shared" ref="F7:F8" si="1">C7+E7</f>
        <v>425</v>
      </c>
      <c r="G7" s="102">
        <f t="shared" ref="G7:G48" si="2">B7*E7</f>
        <v>0</v>
      </c>
    </row>
    <row r="8" spans="1:7" ht="45" customHeight="1" thickBot="1" x14ac:dyDescent="0.3">
      <c r="A8" s="58" t="s">
        <v>3</v>
      </c>
      <c r="B8" s="59">
        <v>84000</v>
      </c>
      <c r="C8" s="35">
        <v>483</v>
      </c>
      <c r="D8" s="35">
        <f t="shared" si="0"/>
        <v>40572000</v>
      </c>
      <c r="E8" s="60"/>
      <c r="F8" s="61">
        <f t="shared" si="1"/>
        <v>483</v>
      </c>
      <c r="G8" s="102">
        <f t="shared" si="2"/>
        <v>0</v>
      </c>
    </row>
    <row r="9" spans="1:7" ht="45" customHeight="1" thickBot="1" x14ac:dyDescent="0.45">
      <c r="A9" s="89" t="s">
        <v>30</v>
      </c>
      <c r="B9" s="90">
        <f>SUM(B7:B8)</f>
        <v>90000</v>
      </c>
      <c r="C9" s="91">
        <f>D9/B9</f>
        <v>479.13333333333333</v>
      </c>
      <c r="D9" s="90">
        <f>SUM(D7:D8)</f>
        <v>43122000</v>
      </c>
      <c r="E9" s="92"/>
      <c r="F9" s="93"/>
      <c r="G9" s="102">
        <f t="shared" si="2"/>
        <v>0</v>
      </c>
    </row>
    <row r="10" spans="1:7" ht="45" customHeight="1" thickBot="1" x14ac:dyDescent="0.3">
      <c r="A10" s="116" t="s">
        <v>31</v>
      </c>
      <c r="B10" s="117"/>
      <c r="C10" s="117"/>
      <c r="D10" s="117"/>
      <c r="E10" s="117"/>
      <c r="F10" s="118"/>
      <c r="G10" s="102">
        <f t="shared" si="2"/>
        <v>0</v>
      </c>
    </row>
    <row r="11" spans="1:7" ht="45" customHeight="1" x14ac:dyDescent="0.25">
      <c r="A11" s="62" t="s">
        <v>71</v>
      </c>
      <c r="B11" s="59">
        <v>14000</v>
      </c>
      <c r="C11" s="35">
        <v>383</v>
      </c>
      <c r="D11" s="35">
        <f t="shared" ref="D11:D14" si="3">B11*C11</f>
        <v>5362000</v>
      </c>
      <c r="E11" s="35">
        <v>336</v>
      </c>
      <c r="F11" s="63">
        <f t="shared" ref="F11:F14" si="4">C11+E11</f>
        <v>719</v>
      </c>
      <c r="G11" s="102">
        <f t="shared" si="2"/>
        <v>4704000</v>
      </c>
    </row>
    <row r="12" spans="1:7" ht="45" customHeight="1" x14ac:dyDescent="0.25">
      <c r="A12" s="62" t="s">
        <v>75</v>
      </c>
      <c r="B12" s="59">
        <v>1400</v>
      </c>
      <c r="C12" s="35">
        <v>467</v>
      </c>
      <c r="D12" s="35">
        <f t="shared" si="3"/>
        <v>653800</v>
      </c>
      <c r="E12" s="35">
        <v>360</v>
      </c>
      <c r="F12" s="63">
        <f t="shared" si="4"/>
        <v>827</v>
      </c>
      <c r="G12" s="102">
        <f t="shared" si="2"/>
        <v>504000</v>
      </c>
    </row>
    <row r="13" spans="1:7" ht="45" customHeight="1" x14ac:dyDescent="0.25">
      <c r="A13" s="62" t="s">
        <v>28</v>
      </c>
      <c r="B13" s="59">
        <v>15000</v>
      </c>
      <c r="C13" s="35">
        <v>425</v>
      </c>
      <c r="D13" s="35">
        <f t="shared" si="3"/>
        <v>6375000</v>
      </c>
      <c r="E13" s="35"/>
      <c r="F13" s="63">
        <f t="shared" si="4"/>
        <v>425</v>
      </c>
      <c r="G13" s="102">
        <f t="shared" si="2"/>
        <v>0</v>
      </c>
    </row>
    <row r="14" spans="1:7" ht="45" customHeight="1" thickBot="1" x14ac:dyDescent="0.3">
      <c r="A14" s="62" t="s">
        <v>3</v>
      </c>
      <c r="B14" s="59">
        <v>36000</v>
      </c>
      <c r="C14" s="35">
        <v>483</v>
      </c>
      <c r="D14" s="35">
        <f t="shared" si="3"/>
        <v>17388000</v>
      </c>
      <c r="E14" s="35"/>
      <c r="F14" s="63">
        <f t="shared" si="4"/>
        <v>483</v>
      </c>
      <c r="G14" s="102">
        <f>B14*E14</f>
        <v>0</v>
      </c>
    </row>
    <row r="15" spans="1:7" ht="45" customHeight="1" thickBot="1" x14ac:dyDescent="0.45">
      <c r="A15" s="89" t="s">
        <v>32</v>
      </c>
      <c r="B15" s="90">
        <f>SUM(B11:B14)</f>
        <v>66400</v>
      </c>
      <c r="C15" s="91">
        <f>D15/B15</f>
        <v>448.47590361445782</v>
      </c>
      <c r="D15" s="90">
        <f>SUM(D11:D14)</f>
        <v>29778800</v>
      </c>
      <c r="E15" s="92"/>
      <c r="F15" s="94"/>
      <c r="G15" s="102">
        <f t="shared" si="2"/>
        <v>0</v>
      </c>
    </row>
    <row r="16" spans="1:7" ht="45" customHeight="1" x14ac:dyDescent="0.25">
      <c r="A16" s="127" t="s">
        <v>50</v>
      </c>
      <c r="B16" s="128"/>
      <c r="C16" s="128"/>
      <c r="D16" s="128"/>
      <c r="E16" s="128"/>
      <c r="F16" s="129"/>
      <c r="G16" s="102">
        <f t="shared" si="2"/>
        <v>0</v>
      </c>
    </row>
    <row r="17" spans="1:36" ht="45" customHeight="1" thickBot="1" x14ac:dyDescent="0.3">
      <c r="A17" s="110" t="s">
        <v>54</v>
      </c>
      <c r="B17" s="59">
        <v>15000</v>
      </c>
      <c r="C17" s="59">
        <v>527</v>
      </c>
      <c r="D17" s="35">
        <f t="shared" ref="D17" si="5">B17*C17</f>
        <v>7905000</v>
      </c>
      <c r="E17" s="59">
        <v>663</v>
      </c>
      <c r="F17" s="60">
        <f>C17+E17</f>
        <v>1190</v>
      </c>
      <c r="G17" s="102">
        <f t="shared" si="2"/>
        <v>9945000</v>
      </c>
    </row>
    <row r="18" spans="1:36" ht="45" customHeight="1" thickBot="1" x14ac:dyDescent="0.45">
      <c r="A18" s="89" t="s">
        <v>51</v>
      </c>
      <c r="B18" s="90">
        <f>SUM(B17:B17)</f>
        <v>15000</v>
      </c>
      <c r="C18" s="91">
        <f>D18/B18</f>
        <v>527</v>
      </c>
      <c r="D18" s="90">
        <f>SUM(D17:D17)</f>
        <v>7905000</v>
      </c>
      <c r="E18" s="92"/>
      <c r="F18" s="94"/>
      <c r="G18" s="102">
        <f t="shared" si="2"/>
        <v>0</v>
      </c>
    </row>
    <row r="19" spans="1:36" ht="45" customHeight="1" thickBot="1" x14ac:dyDescent="0.3">
      <c r="A19" s="116" t="s">
        <v>33</v>
      </c>
      <c r="B19" s="117"/>
      <c r="C19" s="117"/>
      <c r="D19" s="117"/>
      <c r="E19" s="117"/>
      <c r="F19" s="118"/>
      <c r="G19" s="102">
        <f t="shared" si="2"/>
        <v>0</v>
      </c>
    </row>
    <row r="20" spans="1:36" ht="45" customHeight="1" x14ac:dyDescent="0.25">
      <c r="A20" s="64" t="s">
        <v>71</v>
      </c>
      <c r="B20" s="59">
        <v>7000</v>
      </c>
      <c r="C20" s="35">
        <v>383</v>
      </c>
      <c r="D20" s="35">
        <f>B20*C20</f>
        <v>2681000</v>
      </c>
      <c r="E20" s="35">
        <v>336</v>
      </c>
      <c r="F20" s="61">
        <f>C20+E20</f>
        <v>719</v>
      </c>
      <c r="G20" s="102">
        <f t="shared" si="2"/>
        <v>2352000</v>
      </c>
    </row>
    <row r="21" spans="1:36" ht="45" customHeight="1" x14ac:dyDescent="0.25">
      <c r="A21" s="64" t="s">
        <v>75</v>
      </c>
      <c r="B21" s="59">
        <v>9000</v>
      </c>
      <c r="C21" s="35">
        <v>467</v>
      </c>
      <c r="D21" s="35">
        <f>B21*C21</f>
        <v>4203000</v>
      </c>
      <c r="E21" s="35">
        <v>360</v>
      </c>
      <c r="F21" s="61">
        <f>C21+E21</f>
        <v>827</v>
      </c>
      <c r="G21" s="102">
        <f t="shared" si="2"/>
        <v>3240000</v>
      </c>
    </row>
    <row r="22" spans="1:36" ht="45" customHeight="1" x14ac:dyDescent="0.25">
      <c r="A22" s="64" t="s">
        <v>26</v>
      </c>
      <c r="B22" s="59">
        <v>10000</v>
      </c>
      <c r="C22" s="35">
        <v>425</v>
      </c>
      <c r="D22" s="35">
        <f>B22*C22</f>
        <v>4250000</v>
      </c>
      <c r="E22" s="35"/>
      <c r="F22" s="61">
        <f>C22+E22</f>
        <v>425</v>
      </c>
      <c r="G22" s="102"/>
    </row>
    <row r="23" spans="1:36" ht="45" customHeight="1" thickBot="1" x14ac:dyDescent="0.3">
      <c r="A23" s="64" t="s">
        <v>3</v>
      </c>
      <c r="B23" s="59">
        <v>15000</v>
      </c>
      <c r="C23" s="35">
        <v>483</v>
      </c>
      <c r="D23" s="35">
        <f>B23*C23</f>
        <v>7245000</v>
      </c>
      <c r="E23" s="35"/>
      <c r="F23" s="61">
        <f>C23+E23</f>
        <v>483</v>
      </c>
      <c r="G23" s="102">
        <f t="shared" si="2"/>
        <v>0</v>
      </c>
    </row>
    <row r="24" spans="1:36" ht="45" customHeight="1" thickBot="1" x14ac:dyDescent="0.45">
      <c r="A24" s="89" t="s">
        <v>34</v>
      </c>
      <c r="B24" s="90">
        <f>SUM(B20:B23)</f>
        <v>41000</v>
      </c>
      <c r="C24" s="91">
        <f>D24/B24</f>
        <v>448.26829268292681</v>
      </c>
      <c r="D24" s="90">
        <f>SUM(D20:D23)</f>
        <v>18379000</v>
      </c>
      <c r="E24" s="92"/>
      <c r="F24" s="94"/>
      <c r="G24" s="102">
        <f t="shared" si="2"/>
        <v>0</v>
      </c>
    </row>
    <row r="25" spans="1:36" ht="45" customHeight="1" thickBot="1" x14ac:dyDescent="0.3">
      <c r="A25" s="116" t="s">
        <v>35</v>
      </c>
      <c r="B25" s="117"/>
      <c r="C25" s="117"/>
      <c r="D25" s="117"/>
      <c r="E25" s="117"/>
      <c r="F25" s="118"/>
      <c r="G25" s="102">
        <f t="shared" si="2"/>
        <v>0</v>
      </c>
    </row>
    <row r="26" spans="1:36" ht="45" customHeight="1" x14ac:dyDescent="0.25">
      <c r="A26" s="58" t="s">
        <v>59</v>
      </c>
      <c r="B26" s="59">
        <v>207</v>
      </c>
      <c r="C26" s="35">
        <v>319</v>
      </c>
      <c r="D26" s="66">
        <f>B26*C26</f>
        <v>66033</v>
      </c>
      <c r="E26" s="35">
        <v>356</v>
      </c>
      <c r="F26" s="61">
        <f t="shared" ref="F26:F30" si="6">C26+E26</f>
        <v>675</v>
      </c>
      <c r="G26" s="102">
        <f t="shared" si="2"/>
        <v>73692</v>
      </c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</row>
    <row r="27" spans="1:36" ht="45" customHeight="1" x14ac:dyDescent="0.25">
      <c r="A27" s="58" t="s">
        <v>52</v>
      </c>
      <c r="B27" s="59">
        <v>7500</v>
      </c>
      <c r="C27" s="35">
        <v>422</v>
      </c>
      <c r="D27" s="66">
        <f>B27*C27</f>
        <v>3165000</v>
      </c>
      <c r="E27" s="35">
        <v>568</v>
      </c>
      <c r="F27" s="61">
        <f t="shared" si="6"/>
        <v>990</v>
      </c>
      <c r="G27" s="102">
        <f t="shared" si="2"/>
        <v>4260000</v>
      </c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</row>
    <row r="28" spans="1:36" ht="45" customHeight="1" x14ac:dyDescent="0.25">
      <c r="A28" s="64" t="s">
        <v>43</v>
      </c>
      <c r="B28" s="59">
        <v>9000</v>
      </c>
      <c r="C28" s="59">
        <v>308</v>
      </c>
      <c r="D28" s="59">
        <f>B28*C28</f>
        <v>2772000</v>
      </c>
      <c r="E28" s="59"/>
      <c r="F28" s="65">
        <f t="shared" si="6"/>
        <v>308</v>
      </c>
      <c r="G28" s="102">
        <f t="shared" si="2"/>
        <v>0</v>
      </c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</row>
    <row r="29" spans="1:36" ht="45" customHeight="1" x14ac:dyDescent="0.25">
      <c r="A29" s="58" t="s">
        <v>57</v>
      </c>
      <c r="B29" s="59">
        <v>10000</v>
      </c>
      <c r="C29" s="35">
        <v>467</v>
      </c>
      <c r="D29" s="66">
        <f>C29*B29</f>
        <v>4670000</v>
      </c>
      <c r="E29" s="35">
        <v>722</v>
      </c>
      <c r="F29" s="61">
        <f t="shared" si="6"/>
        <v>1189</v>
      </c>
      <c r="G29" s="102">
        <f t="shared" si="2"/>
        <v>7220000</v>
      </c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</row>
    <row r="30" spans="1:36" ht="45" customHeight="1" thickBot="1" x14ac:dyDescent="0.3">
      <c r="A30" s="58" t="s">
        <v>56</v>
      </c>
      <c r="B30" s="59">
        <v>10000</v>
      </c>
      <c r="C30" s="35">
        <v>467</v>
      </c>
      <c r="D30" s="66">
        <f>C30*B30</f>
        <v>4670000</v>
      </c>
      <c r="E30" s="35">
        <v>722</v>
      </c>
      <c r="F30" s="61">
        <f t="shared" si="6"/>
        <v>1189</v>
      </c>
      <c r="G30" s="102">
        <f t="shared" si="2"/>
        <v>7220000</v>
      </c>
    </row>
    <row r="31" spans="1:36" ht="45" customHeight="1" thickBot="1" x14ac:dyDescent="0.45">
      <c r="A31" s="95" t="s">
        <v>36</v>
      </c>
      <c r="B31" s="90">
        <f>SUM(B26:B30)</f>
        <v>36707</v>
      </c>
      <c r="C31" s="90">
        <f>D31/B31</f>
        <v>417.9865693192034</v>
      </c>
      <c r="D31" s="90">
        <f>SUM(D26:D30)</f>
        <v>15343033</v>
      </c>
      <c r="E31" s="92"/>
      <c r="F31" s="94"/>
      <c r="G31" s="102">
        <f t="shared" si="2"/>
        <v>0</v>
      </c>
    </row>
    <row r="32" spans="1:36" ht="45" customHeight="1" thickBot="1" x14ac:dyDescent="0.45">
      <c r="A32" s="89" t="s">
        <v>37</v>
      </c>
      <c r="B32" s="90">
        <f>B31+B24</f>
        <v>77707</v>
      </c>
      <c r="C32" s="91">
        <f>D32/B32</f>
        <v>433.96390286589366</v>
      </c>
      <c r="D32" s="90">
        <f>D31+D24</f>
        <v>33722033</v>
      </c>
      <c r="E32" s="92"/>
      <c r="F32" s="94"/>
      <c r="G32" s="102">
        <f t="shared" si="2"/>
        <v>0</v>
      </c>
    </row>
    <row r="33" spans="1:10" ht="45" customHeight="1" x14ac:dyDescent="0.25">
      <c r="A33" s="119" t="s">
        <v>61</v>
      </c>
      <c r="B33" s="120"/>
      <c r="C33" s="120"/>
      <c r="D33" s="120"/>
      <c r="E33" s="120"/>
      <c r="F33" s="121"/>
      <c r="G33" s="102">
        <f t="shared" si="2"/>
        <v>0</v>
      </c>
    </row>
    <row r="34" spans="1:10" ht="45" customHeight="1" x14ac:dyDescent="0.25">
      <c r="A34" s="64" t="s">
        <v>63</v>
      </c>
      <c r="B34" s="59">
        <v>3500</v>
      </c>
      <c r="C34" s="35">
        <v>338</v>
      </c>
      <c r="D34" s="35">
        <f>B34*C34</f>
        <v>1183000</v>
      </c>
      <c r="E34" s="35">
        <v>584</v>
      </c>
      <c r="F34" s="61">
        <f>C34+E34</f>
        <v>922</v>
      </c>
      <c r="G34" s="102">
        <f t="shared" si="2"/>
        <v>2044000</v>
      </c>
    </row>
    <row r="35" spans="1:10" ht="45" customHeight="1" thickBot="1" x14ac:dyDescent="0.3">
      <c r="A35" s="64" t="s">
        <v>69</v>
      </c>
      <c r="B35" s="59">
        <v>4200</v>
      </c>
      <c r="C35" s="35">
        <v>256</v>
      </c>
      <c r="D35" s="35">
        <f>B35*C35</f>
        <v>1075200</v>
      </c>
      <c r="E35" s="35">
        <v>465</v>
      </c>
      <c r="F35" s="61">
        <f>C35+E35</f>
        <v>721</v>
      </c>
      <c r="G35" s="102">
        <f t="shared" si="2"/>
        <v>1953000</v>
      </c>
    </row>
    <row r="36" spans="1:10" ht="45" customHeight="1" thickBot="1" x14ac:dyDescent="0.45">
      <c r="A36" s="89" t="s">
        <v>62</v>
      </c>
      <c r="B36" s="90">
        <f>SUM(B34:B35)</f>
        <v>7700</v>
      </c>
      <c r="C36" s="91">
        <f>D36/B36</f>
        <v>293.27272727272725</v>
      </c>
      <c r="D36" s="90">
        <f>SUM(D34:D35)</f>
        <v>2258200</v>
      </c>
      <c r="E36" s="92"/>
      <c r="F36" s="94"/>
      <c r="G36" s="102">
        <f t="shared" si="2"/>
        <v>0</v>
      </c>
    </row>
    <row r="37" spans="1:10" ht="45" customHeight="1" x14ac:dyDescent="0.25">
      <c r="A37" s="110" t="s">
        <v>52</v>
      </c>
      <c r="B37" s="59">
        <v>7500</v>
      </c>
      <c r="C37" s="35">
        <v>422</v>
      </c>
      <c r="D37" s="35">
        <f t="shared" ref="D37" si="7">B37*C37</f>
        <v>3165000</v>
      </c>
      <c r="E37" s="35">
        <v>568</v>
      </c>
      <c r="F37" s="60">
        <f t="shared" ref="F37" si="8">C37+E37</f>
        <v>990</v>
      </c>
      <c r="G37" s="102">
        <f t="shared" si="2"/>
        <v>4260000</v>
      </c>
    </row>
    <row r="38" spans="1:10" ht="45" customHeight="1" x14ac:dyDescent="0.25">
      <c r="A38" s="111" t="s">
        <v>58</v>
      </c>
      <c r="B38" s="59">
        <v>3300</v>
      </c>
      <c r="C38" s="35">
        <v>355</v>
      </c>
      <c r="D38" s="66">
        <f t="shared" ref="D38:D47" si="9">C38*B38</f>
        <v>1171500</v>
      </c>
      <c r="E38" s="35">
        <v>494</v>
      </c>
      <c r="F38" s="60">
        <f t="shared" ref="F38:F47" si="10">C38+E38</f>
        <v>849</v>
      </c>
      <c r="G38" s="102">
        <f t="shared" si="2"/>
        <v>1630200</v>
      </c>
    </row>
    <row r="39" spans="1:10" ht="45" customHeight="1" x14ac:dyDescent="0.25">
      <c r="A39" s="112" t="s">
        <v>63</v>
      </c>
      <c r="B39" s="59">
        <v>3500</v>
      </c>
      <c r="C39" s="35">
        <v>338</v>
      </c>
      <c r="D39" s="66">
        <f t="shared" si="9"/>
        <v>1183000</v>
      </c>
      <c r="E39" s="35">
        <v>584</v>
      </c>
      <c r="F39" s="60">
        <f t="shared" si="10"/>
        <v>922</v>
      </c>
      <c r="G39" s="102">
        <f t="shared" si="2"/>
        <v>2044000</v>
      </c>
    </row>
    <row r="40" spans="1:10" ht="45" customHeight="1" x14ac:dyDescent="0.25">
      <c r="A40" s="112" t="s">
        <v>67</v>
      </c>
      <c r="B40" s="59">
        <v>4200</v>
      </c>
      <c r="C40" s="35">
        <v>399</v>
      </c>
      <c r="D40" s="66">
        <f t="shared" si="9"/>
        <v>1675800</v>
      </c>
      <c r="E40" s="35">
        <v>525</v>
      </c>
      <c r="F40" s="60">
        <f t="shared" si="10"/>
        <v>924</v>
      </c>
      <c r="G40" s="102">
        <f t="shared" si="2"/>
        <v>2205000</v>
      </c>
    </row>
    <row r="41" spans="1:10" ht="45" customHeight="1" x14ac:dyDescent="0.25">
      <c r="A41" s="112" t="s">
        <v>68</v>
      </c>
      <c r="B41" s="59">
        <v>3700</v>
      </c>
      <c r="C41" s="35">
        <v>334</v>
      </c>
      <c r="D41" s="66">
        <f t="shared" si="9"/>
        <v>1235800</v>
      </c>
      <c r="E41" s="35">
        <v>603</v>
      </c>
      <c r="F41" s="60">
        <f t="shared" si="10"/>
        <v>937</v>
      </c>
      <c r="G41" s="102">
        <f t="shared" si="2"/>
        <v>2231100</v>
      </c>
    </row>
    <row r="42" spans="1:10" ht="45" customHeight="1" x14ac:dyDescent="0.25">
      <c r="A42" s="112" t="s">
        <v>65</v>
      </c>
      <c r="B42" s="59">
        <v>6200</v>
      </c>
      <c r="C42" s="35">
        <v>334</v>
      </c>
      <c r="D42" s="66">
        <f t="shared" si="9"/>
        <v>2070800</v>
      </c>
      <c r="E42" s="35">
        <v>386</v>
      </c>
      <c r="F42" s="60">
        <f t="shared" si="10"/>
        <v>720</v>
      </c>
      <c r="G42" s="102">
        <f t="shared" si="2"/>
        <v>2393200</v>
      </c>
    </row>
    <row r="43" spans="1:10" ht="45" customHeight="1" x14ac:dyDescent="0.25">
      <c r="A43" s="112" t="s">
        <v>66</v>
      </c>
      <c r="B43" s="59">
        <v>2100</v>
      </c>
      <c r="C43" s="35">
        <v>346</v>
      </c>
      <c r="D43" s="66">
        <f t="shared" si="9"/>
        <v>726600</v>
      </c>
      <c r="E43" s="35">
        <v>429</v>
      </c>
      <c r="F43" s="60">
        <f t="shared" si="10"/>
        <v>775</v>
      </c>
      <c r="G43" s="102">
        <f t="shared" si="2"/>
        <v>900900</v>
      </c>
    </row>
    <row r="44" spans="1:10" ht="45" customHeight="1" x14ac:dyDescent="0.25">
      <c r="A44" s="112" t="s">
        <v>27</v>
      </c>
      <c r="B44" s="59">
        <v>7000</v>
      </c>
      <c r="C44" s="35">
        <v>383</v>
      </c>
      <c r="D44" s="66">
        <f t="shared" si="9"/>
        <v>2681000</v>
      </c>
      <c r="E44" s="35">
        <v>167</v>
      </c>
      <c r="F44" s="60">
        <f t="shared" si="10"/>
        <v>550</v>
      </c>
      <c r="G44" s="102">
        <f t="shared" si="2"/>
        <v>1169000</v>
      </c>
    </row>
    <row r="45" spans="1:10" ht="45" customHeight="1" x14ac:dyDescent="0.25">
      <c r="A45" s="58" t="s">
        <v>64</v>
      </c>
      <c r="B45" s="59">
        <v>8000</v>
      </c>
      <c r="C45" s="35">
        <v>254</v>
      </c>
      <c r="D45" s="66">
        <f t="shared" si="9"/>
        <v>2032000</v>
      </c>
      <c r="E45" s="35">
        <v>584</v>
      </c>
      <c r="F45" s="60">
        <f t="shared" si="10"/>
        <v>838</v>
      </c>
      <c r="G45" s="102">
        <f t="shared" si="2"/>
        <v>4672000</v>
      </c>
    </row>
    <row r="46" spans="1:10" ht="45" customHeight="1" x14ac:dyDescent="0.25">
      <c r="A46" s="113" t="s">
        <v>70</v>
      </c>
      <c r="B46" s="82">
        <v>3300</v>
      </c>
      <c r="C46" s="50">
        <v>301</v>
      </c>
      <c r="D46" s="66">
        <f t="shared" si="9"/>
        <v>993300</v>
      </c>
      <c r="E46" s="50">
        <v>302</v>
      </c>
      <c r="F46" s="114">
        <f t="shared" si="10"/>
        <v>603</v>
      </c>
      <c r="G46" s="102">
        <f t="shared" si="2"/>
        <v>996600</v>
      </c>
    </row>
    <row r="47" spans="1:10" ht="45" customHeight="1" thickBot="1" x14ac:dyDescent="0.3">
      <c r="A47" s="84" t="s">
        <v>55</v>
      </c>
      <c r="B47" s="82">
        <v>15000</v>
      </c>
      <c r="C47" s="50">
        <v>439</v>
      </c>
      <c r="D47" s="85">
        <f t="shared" si="9"/>
        <v>6585000</v>
      </c>
      <c r="E47" s="50"/>
      <c r="F47" s="83">
        <f t="shared" si="10"/>
        <v>439</v>
      </c>
      <c r="G47" s="102">
        <f t="shared" si="2"/>
        <v>0</v>
      </c>
    </row>
    <row r="48" spans="1:10" ht="45" customHeight="1" thickBot="1" x14ac:dyDescent="0.3">
      <c r="A48" s="95" t="s">
        <v>39</v>
      </c>
      <c r="B48" s="90">
        <f>SUM(B37:B47)</f>
        <v>63800</v>
      </c>
      <c r="C48" s="91">
        <f>D48/B48</f>
        <v>368.6489028213166</v>
      </c>
      <c r="D48" s="90">
        <f>SUM(D37:D47)</f>
        <v>23519800</v>
      </c>
      <c r="E48" s="91"/>
      <c r="F48" s="96"/>
      <c r="G48" s="102">
        <f t="shared" si="2"/>
        <v>0</v>
      </c>
      <c r="H48" s="104"/>
      <c r="I48" s="105" t="s">
        <v>48</v>
      </c>
      <c r="J48" s="106" t="s">
        <v>49</v>
      </c>
    </row>
    <row r="49" spans="1:10" ht="45" customHeight="1" thickBot="1" x14ac:dyDescent="0.45">
      <c r="A49" s="97" t="s">
        <v>4</v>
      </c>
      <c r="B49" s="98">
        <f>B9+B15+B18+B32+B48+B36</f>
        <v>320607</v>
      </c>
      <c r="C49" s="99">
        <f>D49/B49</f>
        <v>437.62560705162394</v>
      </c>
      <c r="D49" s="98">
        <f>D9+D15+D32+D48+D18+D36</f>
        <v>140305833</v>
      </c>
      <c r="E49" s="100"/>
      <c r="F49" s="101"/>
      <c r="G49" s="102">
        <f>SUM(G7:G48)</f>
        <v>66017692</v>
      </c>
      <c r="H49" s="104">
        <f>G44</f>
        <v>1169000</v>
      </c>
      <c r="I49" s="104">
        <v>10741390</v>
      </c>
      <c r="J49" s="104">
        <f>I49/1.2</f>
        <v>8951158.333333334</v>
      </c>
    </row>
    <row r="50" spans="1:10" ht="27.75" hidden="1" customHeight="1" x14ac:dyDescent="0.4">
      <c r="A50" s="47" t="s">
        <v>17</v>
      </c>
      <c r="B50" s="67"/>
      <c r="C50" s="68"/>
      <c r="D50" s="69"/>
      <c r="E50" s="70"/>
      <c r="F50" s="71"/>
      <c r="J50" s="104">
        <f t="shared" ref="J50:J55" si="11">I50/1.2</f>
        <v>0</v>
      </c>
    </row>
    <row r="51" spans="1:10" ht="27.75" hidden="1" customHeight="1" x14ac:dyDescent="0.4">
      <c r="A51" s="34" t="s">
        <v>18</v>
      </c>
      <c r="B51" s="72"/>
      <c r="C51" s="68"/>
      <c r="D51" s="69"/>
      <c r="E51" s="70"/>
      <c r="F51" s="71"/>
      <c r="J51" s="104">
        <f t="shared" si="11"/>
        <v>0</v>
      </c>
    </row>
    <row r="52" spans="1:10" ht="27.75" hidden="1" customHeight="1" x14ac:dyDescent="0.4">
      <c r="A52" s="34" t="s">
        <v>19</v>
      </c>
      <c r="B52" s="72"/>
      <c r="C52" s="68"/>
      <c r="D52" s="69"/>
      <c r="E52" s="70"/>
      <c r="F52" s="71"/>
      <c r="J52" s="104">
        <f t="shared" si="11"/>
        <v>0</v>
      </c>
    </row>
    <row r="53" spans="1:10" ht="27.75" hidden="1" customHeight="1" x14ac:dyDescent="0.4">
      <c r="A53" s="34" t="s">
        <v>20</v>
      </c>
      <c r="B53" s="72"/>
      <c r="C53" s="68"/>
      <c r="D53" s="69"/>
      <c r="E53" s="70"/>
      <c r="F53" s="71"/>
      <c r="J53" s="104">
        <f t="shared" si="11"/>
        <v>0</v>
      </c>
    </row>
    <row r="54" spans="1:10" ht="28.5" hidden="1" customHeight="1" x14ac:dyDescent="0.4">
      <c r="A54" s="37" t="s">
        <v>16</v>
      </c>
      <c r="B54" s="44">
        <f>SUM(B50:B53)</f>
        <v>0</v>
      </c>
      <c r="C54" s="41"/>
      <c r="D54" s="40"/>
      <c r="E54" s="73"/>
      <c r="F54" s="74"/>
      <c r="J54" s="104">
        <f t="shared" si="11"/>
        <v>0</v>
      </c>
    </row>
    <row r="55" spans="1:10" ht="34.5" customHeight="1" x14ac:dyDescent="0.25">
      <c r="A55" s="115"/>
      <c r="B55" s="115"/>
      <c r="C55" s="115"/>
      <c r="D55" s="115"/>
      <c r="E55" s="115"/>
      <c r="F55" s="115"/>
      <c r="H55" s="104">
        <f>G49-H49</f>
        <v>64848692</v>
      </c>
      <c r="I55" s="104">
        <v>34160075</v>
      </c>
      <c r="J55" s="104">
        <f t="shared" si="11"/>
        <v>28466729.166666668</v>
      </c>
    </row>
    <row r="56" spans="1:10" ht="29.25" customHeight="1" x14ac:dyDescent="0.4">
      <c r="A56" s="54" t="s">
        <v>5</v>
      </c>
      <c r="B56" s="75"/>
      <c r="C56" s="54"/>
      <c r="D56" s="54"/>
      <c r="E56" s="54" t="s">
        <v>6</v>
      </c>
      <c r="F56" s="76"/>
    </row>
    <row r="57" spans="1:10" ht="45" customHeight="1" x14ac:dyDescent="0.4">
      <c r="A57" s="54"/>
      <c r="B57" s="75"/>
      <c r="C57" s="54"/>
      <c r="D57" s="54"/>
      <c r="E57" s="54"/>
      <c r="F57" s="76"/>
    </row>
    <row r="58" spans="1:10" ht="33" customHeight="1" x14ac:dyDescent="0.4">
      <c r="A58" s="54" t="s">
        <v>7</v>
      </c>
      <c r="B58" s="75"/>
      <c r="C58" s="77"/>
      <c r="D58" s="77"/>
      <c r="E58" s="77" t="s">
        <v>8</v>
      </c>
      <c r="F58" s="78"/>
    </row>
    <row r="59" spans="1:10" ht="45" customHeight="1" x14ac:dyDescent="0.4">
      <c r="A59" s="75"/>
      <c r="B59" s="75"/>
      <c r="C59" s="75"/>
      <c r="D59" s="75"/>
      <c r="E59" s="75"/>
      <c r="F59" s="79"/>
    </row>
    <row r="60" spans="1:10" ht="29.25" customHeight="1" x14ac:dyDescent="0.4">
      <c r="A60" s="54" t="s">
        <v>9</v>
      </c>
      <c r="B60" s="75"/>
      <c r="C60" s="77"/>
      <c r="D60" s="77"/>
      <c r="E60" s="77" t="s">
        <v>10</v>
      </c>
      <c r="F60" s="79"/>
    </row>
    <row r="61" spans="1:10" ht="45" customHeight="1" x14ac:dyDescent="0.4">
      <c r="A61" s="54"/>
      <c r="B61" s="75"/>
      <c r="C61" s="77"/>
      <c r="D61" s="77"/>
      <c r="E61" s="77"/>
      <c r="F61" s="79"/>
    </row>
    <row r="62" spans="1:10" ht="32.25" customHeight="1" x14ac:dyDescent="0.4">
      <c r="A62" s="54" t="s">
        <v>21</v>
      </c>
      <c r="B62" s="75"/>
      <c r="C62" s="77"/>
      <c r="D62" s="77"/>
      <c r="E62" s="77" t="s">
        <v>25</v>
      </c>
      <c r="F62" s="79"/>
    </row>
    <row r="63" spans="1:10" ht="45" customHeight="1" x14ac:dyDescent="0.4">
      <c r="A63" s="54"/>
      <c r="B63" s="75"/>
      <c r="C63" s="77"/>
      <c r="D63" s="77"/>
      <c r="E63" s="77"/>
      <c r="F63" s="79"/>
    </row>
    <row r="64" spans="1:10" ht="25.5" customHeight="1" x14ac:dyDescent="0.4">
      <c r="A64" s="54" t="s">
        <v>21</v>
      </c>
      <c r="B64" s="77"/>
      <c r="C64" s="80"/>
      <c r="D64" s="80"/>
      <c r="E64" s="81" t="s">
        <v>22</v>
      </c>
      <c r="F64" s="79"/>
    </row>
    <row r="65" spans="1:6" ht="27.75" x14ac:dyDescent="0.4">
      <c r="A65" s="53"/>
      <c r="B65" s="55"/>
      <c r="C65" s="55"/>
      <c r="D65" s="55"/>
      <c r="E65" s="55"/>
      <c r="F65" s="56"/>
    </row>
    <row r="66" spans="1:6" ht="30.75" x14ac:dyDescent="0.45">
      <c r="A66" s="8"/>
      <c r="B66" s="6"/>
      <c r="C66" s="5"/>
      <c r="D66" s="5"/>
      <c r="E66" s="6"/>
      <c r="F66" s="5"/>
    </row>
    <row r="67" spans="1:6" ht="30.75" x14ac:dyDescent="0.45">
      <c r="A67" s="8"/>
      <c r="B67" s="8"/>
      <c r="C67" s="6"/>
      <c r="D67" s="6"/>
      <c r="E67" s="8"/>
      <c r="F67" s="5"/>
    </row>
    <row r="68" spans="1:6" ht="30.75" x14ac:dyDescent="0.45">
      <c r="A68" s="9"/>
      <c r="B68" s="6"/>
      <c r="C68" s="6"/>
      <c r="D68" s="6"/>
      <c r="E68" s="5"/>
      <c r="F68" s="5"/>
    </row>
    <row r="69" spans="1:6" ht="30.75" x14ac:dyDescent="0.45">
      <c r="A69" s="8"/>
      <c r="B69" s="6"/>
      <c r="C69" s="5"/>
      <c r="D69" s="5"/>
      <c r="E69" s="5"/>
      <c r="F69" s="5"/>
    </row>
    <row r="70" spans="1:6" ht="30.75" x14ac:dyDescent="0.45">
      <c r="A70" s="8"/>
      <c r="B70" s="6"/>
      <c r="C70" s="6"/>
      <c r="D70" s="6"/>
      <c r="E70" s="11"/>
      <c r="F70" s="5"/>
    </row>
    <row r="71" spans="1:6" ht="30.75" x14ac:dyDescent="0.45">
      <c r="A71" s="9"/>
      <c r="B71" s="6"/>
      <c r="C71" s="6"/>
      <c r="D71" s="6"/>
      <c r="E71" s="11"/>
    </row>
    <row r="72" spans="1:6" ht="30.75" x14ac:dyDescent="0.45">
      <c r="A72" s="9"/>
      <c r="B72" s="8"/>
      <c r="C72" s="8"/>
      <c r="D72" s="8"/>
      <c r="E72" s="8"/>
    </row>
    <row r="73" spans="1:6" ht="30.75" x14ac:dyDescent="0.45">
      <c r="A73" s="9"/>
      <c r="B73" s="8"/>
      <c r="C73" s="12"/>
      <c r="D73" s="12"/>
      <c r="E73" s="12"/>
    </row>
    <row r="74" spans="1:6" ht="30.75" x14ac:dyDescent="0.45">
      <c r="B74" s="8"/>
      <c r="C74" s="6"/>
      <c r="D74" s="6"/>
      <c r="E74" s="6"/>
    </row>
    <row r="75" spans="1:6" ht="30.75" x14ac:dyDescent="0.45">
      <c r="A75" s="8"/>
      <c r="B75" s="5"/>
      <c r="C75" s="5"/>
      <c r="D75" s="5"/>
      <c r="E75" s="5"/>
    </row>
    <row r="76" spans="1:6" ht="30.75" x14ac:dyDescent="0.45">
      <c r="A76" s="8"/>
      <c r="B76" s="11"/>
      <c r="C76" s="11"/>
      <c r="D76" s="11"/>
      <c r="E76" s="11"/>
      <c r="F76" s="11"/>
    </row>
    <row r="77" spans="1:6" ht="30.75" x14ac:dyDescent="0.45">
      <c r="A77" s="8"/>
      <c r="B77" s="11"/>
      <c r="C77" s="11"/>
      <c r="D77" s="11"/>
      <c r="E77" s="11"/>
      <c r="F77" s="11"/>
    </row>
    <row r="78" spans="1:6" ht="30.75" x14ac:dyDescent="0.45">
      <c r="A78" s="8"/>
      <c r="B78" s="11"/>
      <c r="C78" s="11"/>
      <c r="D78" s="11"/>
      <c r="E78" s="11"/>
      <c r="F78" s="11"/>
    </row>
    <row r="79" spans="1:6" ht="30.75" x14ac:dyDescent="0.45">
      <c r="A79" s="8"/>
      <c r="B79" s="5"/>
      <c r="C79" s="5"/>
      <c r="D79" s="5"/>
      <c r="E79" s="5"/>
    </row>
    <row r="80" spans="1:6" ht="30.75" x14ac:dyDescent="0.45">
      <c r="A80" s="8"/>
      <c r="B80" s="5"/>
      <c r="C80" s="5"/>
      <c r="D80" s="5"/>
      <c r="E80" s="5"/>
    </row>
    <row r="81" spans="1:6" ht="30.75" x14ac:dyDescent="0.45">
      <c r="A81" s="8"/>
      <c r="B81" s="11"/>
      <c r="C81" s="11"/>
      <c r="D81" s="11"/>
      <c r="E81" s="11"/>
    </row>
    <row r="82" spans="1:6" ht="30.75" x14ac:dyDescent="0.45">
      <c r="A82" s="8"/>
      <c r="B82" s="11"/>
      <c r="C82" s="11"/>
      <c r="D82" s="11"/>
      <c r="E82" s="11"/>
    </row>
    <row r="83" spans="1:6" ht="30.75" x14ac:dyDescent="0.45">
      <c r="A83" s="8"/>
      <c r="B83" s="5"/>
      <c r="C83" s="5"/>
      <c r="D83" s="5"/>
      <c r="E83" s="5"/>
      <c r="F83" s="5"/>
    </row>
    <row r="84" spans="1:6" ht="30.75" x14ac:dyDescent="0.45">
      <c r="A84" s="8"/>
      <c r="B84" s="6"/>
      <c r="C84" s="10"/>
      <c r="D84" s="10"/>
      <c r="E84" s="10"/>
      <c r="F84" s="13"/>
    </row>
    <row r="85" spans="1:6" ht="30.75" x14ac:dyDescent="0.25">
      <c r="A85" s="8"/>
      <c r="B85" s="7"/>
    </row>
    <row r="86" spans="1:6" ht="30.75" x14ac:dyDescent="0.45">
      <c r="A86" s="9"/>
    </row>
  </sheetData>
  <sortState ref="A20:F23">
    <sortCondition ref="A20"/>
  </sortState>
  <mergeCells count="10">
    <mergeCell ref="A55:F55"/>
    <mergeCell ref="A25:F25"/>
    <mergeCell ref="A33:F33"/>
    <mergeCell ref="A1:F3"/>
    <mergeCell ref="A4:A5"/>
    <mergeCell ref="B4:F4"/>
    <mergeCell ref="A6:F6"/>
    <mergeCell ref="A10:F10"/>
    <mergeCell ref="A19:F19"/>
    <mergeCell ref="A16:F16"/>
  </mergeCells>
  <printOptions horizontalCentered="1"/>
  <pageMargins left="0.39370078740157483" right="0.39370078740157483" top="0.39370078740157483" bottom="0.39370078740157483" header="0" footer="0"/>
  <pageSetup paperSize="9" scale="35" fitToHeight="0" orientation="landscape" r:id="rId1"/>
  <rowBreaks count="1" manualBreakCount="1">
    <brk id="32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34"/>
  <sheetViews>
    <sheetView zoomScale="75" zoomScaleNormal="75" workbookViewId="0">
      <selection activeCell="A7" sqref="A7"/>
    </sheetView>
  </sheetViews>
  <sheetFormatPr defaultRowHeight="15" x14ac:dyDescent="0.25"/>
  <cols>
    <col min="1" max="1" width="128.28515625" customWidth="1"/>
    <col min="2" max="2" width="70.7109375" customWidth="1"/>
    <col min="3" max="3" width="0" hidden="1" customWidth="1"/>
    <col min="4" max="4" width="38.140625" hidden="1" customWidth="1"/>
    <col min="5" max="5" width="43.5703125" hidden="1" customWidth="1"/>
    <col min="6" max="6" width="38.140625" hidden="1" customWidth="1"/>
    <col min="7" max="7" width="8.42578125" customWidth="1"/>
    <col min="8" max="8" width="4.140625" customWidth="1"/>
  </cols>
  <sheetData>
    <row r="2" spans="1:11" ht="48" customHeight="1" x14ac:dyDescent="0.5">
      <c r="B2" s="22" t="s">
        <v>15</v>
      </c>
      <c r="D2" s="22"/>
      <c r="E2" s="22"/>
    </row>
    <row r="3" spans="1:11" ht="48" customHeight="1" thickBot="1" x14ac:dyDescent="0.55000000000000004">
      <c r="B3" s="24"/>
      <c r="D3" s="23"/>
      <c r="E3" s="24"/>
    </row>
    <row r="4" spans="1:11" ht="13.5" customHeight="1" x14ac:dyDescent="0.5">
      <c r="B4" s="22"/>
      <c r="D4" s="22"/>
      <c r="E4" s="22"/>
    </row>
    <row r="5" spans="1:11" ht="42" customHeight="1" x14ac:dyDescent="0.5">
      <c r="B5" s="22" t="s">
        <v>5</v>
      </c>
      <c r="D5" s="22"/>
      <c r="E5" s="22"/>
    </row>
    <row r="6" spans="1:11" ht="40.5" customHeight="1" x14ac:dyDescent="0.5">
      <c r="B6" s="22" t="s">
        <v>6</v>
      </c>
      <c r="D6" s="22"/>
      <c r="E6" s="22"/>
    </row>
    <row r="7" spans="1:11" ht="46.5" customHeight="1" x14ac:dyDescent="0.5">
      <c r="B7" s="22" t="s">
        <v>60</v>
      </c>
      <c r="D7" s="22"/>
      <c r="E7" s="22"/>
    </row>
    <row r="8" spans="1:11" ht="46.5" customHeight="1" x14ac:dyDescent="0.5">
      <c r="D8" s="22"/>
      <c r="E8" s="22"/>
    </row>
    <row r="9" spans="1:11" ht="46.5" customHeight="1" x14ac:dyDescent="0.5">
      <c r="D9" s="22"/>
      <c r="E9" s="22"/>
    </row>
    <row r="10" spans="1:11" ht="46.5" customHeight="1" x14ac:dyDescent="0.5">
      <c r="D10" s="22"/>
      <c r="E10" s="22"/>
    </row>
    <row r="11" spans="1:11" ht="13.5" customHeight="1" x14ac:dyDescent="0.25">
      <c r="G11" s="7"/>
      <c r="H11" s="7"/>
      <c r="I11" s="7"/>
      <c r="J11" s="7"/>
      <c r="K11" s="7"/>
    </row>
    <row r="12" spans="1:11" ht="54" customHeight="1" x14ac:dyDescent="0.25">
      <c r="A12" s="131" t="s">
        <v>72</v>
      </c>
      <c r="B12" s="131"/>
      <c r="C12" s="131"/>
      <c r="D12" s="131"/>
      <c r="E12" s="131"/>
      <c r="F12" s="131"/>
      <c r="G12" s="7"/>
      <c r="H12" s="7"/>
      <c r="I12" s="7"/>
      <c r="J12" s="7"/>
      <c r="K12" s="7"/>
    </row>
    <row r="13" spans="1:11" ht="30.75" customHeight="1" thickBot="1" x14ac:dyDescent="0.4">
      <c r="A13" s="2"/>
      <c r="B13" s="3"/>
      <c r="C13" s="3"/>
      <c r="D13" s="4"/>
      <c r="E13" s="4"/>
      <c r="G13" s="7"/>
      <c r="H13" s="7"/>
      <c r="I13" s="7"/>
      <c r="J13" s="7"/>
      <c r="K13" s="7"/>
    </row>
    <row r="14" spans="1:11" ht="30.75" customHeight="1" thickBot="1" x14ac:dyDescent="0.3">
      <c r="A14" s="51" t="s">
        <v>24</v>
      </c>
      <c r="B14" s="52" t="s">
        <v>12</v>
      </c>
      <c r="C14" s="45" t="s">
        <v>1</v>
      </c>
      <c r="D14" s="26" t="s">
        <v>11</v>
      </c>
      <c r="E14" s="26" t="s">
        <v>13</v>
      </c>
      <c r="F14" s="27" t="s">
        <v>2</v>
      </c>
      <c r="G14" s="7"/>
      <c r="H14" s="7"/>
      <c r="I14" s="7"/>
      <c r="J14" s="7"/>
      <c r="K14" s="7"/>
    </row>
    <row r="15" spans="1:11" s="21" customFormat="1" ht="50.1" customHeight="1" thickBot="1" x14ac:dyDescent="0.4">
      <c r="A15" s="46" t="s">
        <v>29</v>
      </c>
      <c r="B15" s="49">
        <f>'план май'!B9</f>
        <v>90000</v>
      </c>
      <c r="C15" s="48" t="e">
        <f>SUM(#REF!)</f>
        <v>#REF!</v>
      </c>
      <c r="D15" s="107" t="e">
        <f>E15/B15</f>
        <v>#REF!</v>
      </c>
      <c r="E15" s="35" t="e">
        <f>SUM(#REF!)</f>
        <v>#REF!</v>
      </c>
      <c r="F15" s="36"/>
      <c r="G15" s="20"/>
      <c r="H15" s="20"/>
      <c r="I15" s="20"/>
      <c r="J15" s="20"/>
      <c r="K15" s="20"/>
    </row>
    <row r="16" spans="1:11" s="21" customFormat="1" ht="50.1" customHeight="1" thickBot="1" x14ac:dyDescent="0.3">
      <c r="A16" s="46" t="s">
        <v>40</v>
      </c>
      <c r="B16" s="49">
        <f>'план май'!B15</f>
        <v>66400</v>
      </c>
      <c r="C16" s="34" t="e">
        <f>SUM(#REF!)</f>
        <v>#REF!</v>
      </c>
      <c r="D16" s="35" t="e">
        <f>E16/B16</f>
        <v>#REF!</v>
      </c>
      <c r="E16" s="34" t="e">
        <f>SUM(#REF!)</f>
        <v>#REF!</v>
      </c>
      <c r="F16" s="43"/>
      <c r="G16" s="20"/>
      <c r="H16" s="20"/>
      <c r="I16" s="20"/>
      <c r="J16" s="20"/>
      <c r="K16" s="20"/>
    </row>
    <row r="17" spans="1:11" s="21" customFormat="1" ht="50.1" customHeight="1" thickBot="1" x14ac:dyDescent="0.3">
      <c r="A17" s="46" t="s">
        <v>53</v>
      </c>
      <c r="B17" s="49">
        <f>'план май'!B18</f>
        <v>15000</v>
      </c>
      <c r="C17" s="34"/>
      <c r="D17" s="35"/>
      <c r="E17" s="34"/>
      <c r="F17" s="43"/>
      <c r="G17" s="20"/>
      <c r="H17" s="20"/>
      <c r="I17" s="20"/>
      <c r="J17" s="20"/>
      <c r="K17" s="20"/>
    </row>
    <row r="18" spans="1:11" s="21" customFormat="1" ht="50.1" customHeight="1" thickBot="1" x14ac:dyDescent="0.3">
      <c r="A18" s="46" t="s">
        <v>41</v>
      </c>
      <c r="B18" s="49">
        <f>'план май'!B31</f>
        <v>36707</v>
      </c>
      <c r="C18" s="34" t="e">
        <f>SUM(#REF!)</f>
        <v>#REF!</v>
      </c>
      <c r="D18" s="35" t="e">
        <f>E18/B18</f>
        <v>#REF!</v>
      </c>
      <c r="E18" s="34" t="e">
        <f>SUM(#REF!)</f>
        <v>#REF!</v>
      </c>
      <c r="F18" s="43"/>
      <c r="G18" s="20"/>
      <c r="H18" s="20"/>
      <c r="I18" s="20"/>
      <c r="J18" s="20"/>
      <c r="K18" s="20"/>
    </row>
    <row r="19" spans="1:11" s="21" customFormat="1" ht="50.1" customHeight="1" thickBot="1" x14ac:dyDescent="0.3">
      <c r="A19" s="46" t="s">
        <v>42</v>
      </c>
      <c r="B19" s="49">
        <f>'план май'!B24</f>
        <v>41000</v>
      </c>
      <c r="C19" s="34" t="e">
        <f>SUM(#REF!)</f>
        <v>#REF!</v>
      </c>
      <c r="D19" s="35" t="e">
        <f>E19/B19</f>
        <v>#REF!</v>
      </c>
      <c r="E19" s="34" t="e">
        <f>SUM(#REF!)</f>
        <v>#REF!</v>
      </c>
      <c r="F19" s="43"/>
      <c r="G19" s="20"/>
      <c r="H19" s="20"/>
      <c r="I19" s="20"/>
      <c r="J19" s="20"/>
      <c r="K19" s="20"/>
    </row>
    <row r="20" spans="1:11" s="21" customFormat="1" ht="50.1" customHeight="1" thickBot="1" x14ac:dyDescent="0.3">
      <c r="A20" s="108" t="s">
        <v>61</v>
      </c>
      <c r="B20" s="109">
        <f>'план май'!B36</f>
        <v>7700</v>
      </c>
      <c r="C20" s="34"/>
      <c r="D20" s="35"/>
      <c r="E20" s="34"/>
      <c r="F20" s="43"/>
      <c r="G20" s="20"/>
      <c r="H20" s="20"/>
      <c r="I20" s="20"/>
      <c r="J20" s="20"/>
      <c r="K20" s="20"/>
    </row>
    <row r="21" spans="1:11" s="21" customFormat="1" ht="50.1" customHeight="1" thickBot="1" x14ac:dyDescent="0.3">
      <c r="A21" s="108" t="s">
        <v>38</v>
      </c>
      <c r="B21" s="109">
        <f>'план май'!B48</f>
        <v>63800</v>
      </c>
      <c r="C21" s="34" t="e">
        <f>SUM(#REF!)</f>
        <v>#REF!</v>
      </c>
      <c r="D21" s="35">
        <v>462</v>
      </c>
      <c r="E21" s="34" t="e">
        <f>SUM(#REF!)</f>
        <v>#REF!</v>
      </c>
      <c r="F21" s="43"/>
      <c r="G21" s="20"/>
      <c r="H21" s="20"/>
      <c r="I21" s="20"/>
      <c r="J21" s="20"/>
      <c r="K21" s="20"/>
    </row>
    <row r="22" spans="1:11" s="21" customFormat="1" ht="50.1" customHeight="1" thickBot="1" x14ac:dyDescent="0.3">
      <c r="A22" s="46" t="s">
        <v>14</v>
      </c>
      <c r="B22" s="49">
        <f>B15+B16+B17+B18+B19+B21+B20</f>
        <v>320607</v>
      </c>
      <c r="C22" s="37" t="e">
        <f>#REF!+#REF!+#REF!</f>
        <v>#REF!</v>
      </c>
      <c r="D22" s="38" t="e">
        <f>E22/B22</f>
        <v>#REF!</v>
      </c>
      <c r="E22" s="37" t="e">
        <f>#REF!+E19+E16+E15+#REF!</f>
        <v>#REF!</v>
      </c>
      <c r="F22" s="44"/>
      <c r="G22" s="20"/>
      <c r="H22" s="20"/>
      <c r="I22" s="20"/>
      <c r="J22" s="20"/>
      <c r="K22" s="20"/>
    </row>
    <row r="23" spans="1:11" s="21" customFormat="1" ht="38.25" customHeight="1" x14ac:dyDescent="0.35">
      <c r="A23" s="39"/>
      <c r="B23" s="40"/>
      <c r="C23" s="41"/>
      <c r="D23" s="41"/>
      <c r="E23" s="40"/>
      <c r="F23" s="42"/>
      <c r="G23" s="20"/>
      <c r="H23" s="20"/>
      <c r="I23" s="20"/>
      <c r="J23" s="20"/>
      <c r="K23" s="20"/>
    </row>
    <row r="24" spans="1:11" s="21" customFormat="1" ht="49.5" customHeight="1" x14ac:dyDescent="0.35">
      <c r="A24" s="130"/>
      <c r="B24" s="130"/>
      <c r="C24" s="41"/>
      <c r="D24" s="41"/>
      <c r="E24" s="40"/>
      <c r="F24" s="42"/>
      <c r="G24" s="20"/>
      <c r="H24" s="20"/>
      <c r="I24" s="20"/>
      <c r="J24" s="20"/>
      <c r="K24" s="20"/>
    </row>
    <row r="25" spans="1:11" s="21" customFormat="1" ht="53.25" customHeight="1" x14ac:dyDescent="0.35">
      <c r="A25" s="130"/>
      <c r="B25" s="130"/>
      <c r="C25" s="41"/>
      <c r="D25" s="41"/>
      <c r="E25" s="40"/>
      <c r="F25" s="42"/>
      <c r="G25" s="20"/>
      <c r="H25" s="20"/>
      <c r="I25" s="20"/>
      <c r="J25" s="20"/>
      <c r="K25" s="20"/>
    </row>
    <row r="26" spans="1:11" ht="46.5" customHeight="1" x14ac:dyDescent="0.3">
      <c r="A26" s="130"/>
      <c r="B26" s="130"/>
      <c r="C26" s="17"/>
      <c r="D26" s="17"/>
      <c r="E26" s="16"/>
      <c r="F26" s="18"/>
      <c r="G26" s="7"/>
      <c r="H26" s="7"/>
      <c r="I26" s="7"/>
      <c r="J26" s="7"/>
      <c r="K26" s="7"/>
    </row>
    <row r="27" spans="1:11" ht="56.25" customHeight="1" x14ac:dyDescent="0.45">
      <c r="A27" s="30" t="s">
        <v>7</v>
      </c>
      <c r="B27" s="31" t="s">
        <v>8</v>
      </c>
      <c r="C27" s="14"/>
      <c r="D27" s="14"/>
      <c r="E27" s="19"/>
      <c r="F27" s="14" t="s">
        <v>8</v>
      </c>
    </row>
    <row r="28" spans="1:11" ht="27.75" customHeight="1" x14ac:dyDescent="0.45">
      <c r="A28" s="30"/>
      <c r="B28" s="31"/>
      <c r="C28" s="14"/>
      <c r="D28" s="14"/>
      <c r="E28" s="19"/>
      <c r="F28" s="14"/>
    </row>
    <row r="29" spans="1:11" ht="45" customHeight="1" x14ac:dyDescent="0.45">
      <c r="A29" s="30" t="s">
        <v>9</v>
      </c>
      <c r="B29" s="31" t="s">
        <v>10</v>
      </c>
      <c r="C29" s="14"/>
      <c r="D29" s="14"/>
      <c r="E29" s="19"/>
      <c r="F29" s="14" t="s">
        <v>10</v>
      </c>
    </row>
    <row r="30" spans="1:11" ht="30" customHeight="1" x14ac:dyDescent="0.45">
      <c r="A30" s="30"/>
      <c r="B30" s="31"/>
      <c r="C30" s="14"/>
      <c r="D30" s="14"/>
      <c r="E30" s="19"/>
      <c r="F30" s="14"/>
    </row>
    <row r="31" spans="1:11" ht="45" customHeight="1" x14ac:dyDescent="0.45">
      <c r="A31" s="30" t="s">
        <v>23</v>
      </c>
      <c r="B31" s="31" t="s">
        <v>22</v>
      </c>
      <c r="C31" s="28"/>
      <c r="D31" s="28"/>
      <c r="E31" s="29" t="s">
        <v>22</v>
      </c>
      <c r="F31" s="1"/>
    </row>
    <row r="32" spans="1:11" ht="27.75" customHeight="1" x14ac:dyDescent="0.45">
      <c r="A32" s="30"/>
      <c r="B32" s="31"/>
      <c r="C32" s="28"/>
      <c r="D32" s="28"/>
      <c r="E32" s="29"/>
      <c r="F32" s="1"/>
    </row>
    <row r="33" spans="1:6" ht="45" customHeight="1" x14ac:dyDescent="0.45">
      <c r="A33" s="30" t="s">
        <v>23</v>
      </c>
      <c r="B33" s="31" t="s">
        <v>25</v>
      </c>
      <c r="C33" s="28"/>
      <c r="D33" s="28"/>
      <c r="E33" s="29"/>
      <c r="F33" s="1"/>
    </row>
    <row r="34" spans="1:6" ht="45" customHeight="1" x14ac:dyDescent="0.45">
      <c r="A34" s="33"/>
      <c r="B34" s="32"/>
      <c r="C34" s="29"/>
      <c r="D34" s="29"/>
      <c r="E34" s="25"/>
      <c r="F34" s="15"/>
    </row>
  </sheetData>
  <mergeCells count="4">
    <mergeCell ref="A26:B26"/>
    <mergeCell ref="A12:F12"/>
    <mergeCell ref="A24:B24"/>
    <mergeCell ref="A25:B25"/>
  </mergeCells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план май</vt:lpstr>
      <vt:lpstr>краткий май</vt:lpstr>
      <vt:lpstr>'план май'!Область_печати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2015-08-26T06:33:50Z</cp:lastPrinted>
  <dcterms:created xsi:type="dcterms:W3CDTF">2006-09-28T05:33:49Z</dcterms:created>
  <dcterms:modified xsi:type="dcterms:W3CDTF">2021-04-26T11:56:11Z</dcterms:modified>
</cp:coreProperties>
</file>