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4355" windowHeight="468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F9" i="1" l="1"/>
  <c r="E9" i="1"/>
  <c r="D9" i="1"/>
  <c r="C16" i="1"/>
  <c r="C9" i="1"/>
</calcChain>
</file>

<file path=xl/sharedStrings.xml><?xml version="1.0" encoding="utf-8"?>
<sst xmlns="http://schemas.openxmlformats.org/spreadsheetml/2006/main" count="77" uniqueCount="73">
  <si>
    <t>Выручка</t>
  </si>
  <si>
    <t>Сентябрь</t>
  </si>
  <si>
    <t>Октябрь</t>
  </si>
  <si>
    <t>Ноябрь</t>
  </si>
  <si>
    <t>Декабрь</t>
  </si>
  <si>
    <t>ЗАТРАТЫ</t>
  </si>
  <si>
    <t>ВЫРУЧКА</t>
  </si>
  <si>
    <t>Взрыв</t>
  </si>
  <si>
    <t>Бульдозер</t>
  </si>
  <si>
    <t>Вскрыша</t>
  </si>
  <si>
    <t>Операционные</t>
  </si>
  <si>
    <t>Глина с ндс</t>
  </si>
  <si>
    <t>Мука(Отсев) с ндс</t>
  </si>
  <si>
    <t>ИТОГО</t>
  </si>
  <si>
    <t>Бульдозер: покупка б/у - 6 млн</t>
  </si>
  <si>
    <t>Взрыв: 2 взрыва в месяц по 2 млн - 4 млн</t>
  </si>
  <si>
    <t>Затраты</t>
  </si>
  <si>
    <t>Весы - 4 млн</t>
  </si>
  <si>
    <t>Видеонаблюдение - 5 млн</t>
  </si>
  <si>
    <t>Интернет (по данным ростелеком) - 6 млн</t>
  </si>
  <si>
    <t>Блок-контейнер 7 шт по 150 000= 1 050 000, 1шт за 80 000, итого 1 130 000</t>
  </si>
  <si>
    <t>Скважина - 700 000</t>
  </si>
  <si>
    <t>Татра Ямал (доп) покупка б/у - 2,5 млн</t>
  </si>
  <si>
    <t>Мини погрузчик покупка - 3 млн</t>
  </si>
  <si>
    <t>Диз. Топливо на месяц - 4 млн</t>
  </si>
  <si>
    <t>Жилье для вахтовиков 150 000 \ мес</t>
  </si>
  <si>
    <t>НДПИ - 50р/м3</t>
  </si>
  <si>
    <t>Перевод земель - 5 млн</t>
  </si>
  <si>
    <t>Электричество - 1 млн \ мес</t>
  </si>
  <si>
    <t>Емкости для диз.топлива + топливная колонка - 600 000</t>
  </si>
  <si>
    <t>Рембокс с ямой и кран-балкой 5тн 15х30 метров - 27 млн</t>
  </si>
  <si>
    <t>Шлакбаум 10-12 метров - 2,5 млн</t>
  </si>
  <si>
    <t>Ремонт техники</t>
  </si>
  <si>
    <t>Татра 1 - мост передний 800 000 наличка</t>
  </si>
  <si>
    <t>Татра 1,2,3 - трубки воздушные, фитинги, опресовочные кольца - 50 000</t>
  </si>
  <si>
    <t>АКБ 6 шт по 18 000 = 108 000</t>
  </si>
  <si>
    <t>Экскаватор Хитачи 1 - ленты гусеничные - 1,2 млн</t>
  </si>
  <si>
    <t>звездочки 2 шт - 420 000</t>
  </si>
  <si>
    <t>болты крепления башмаков и звездочек - 100 000</t>
  </si>
  <si>
    <t>катки опорные хитачи 10 шт - 320 000</t>
  </si>
  <si>
    <t>катки поддерживающие 10 шт - 350 000</t>
  </si>
  <si>
    <t>ковш скальный 2,7 м3 - 950 000</t>
  </si>
  <si>
    <t>подшипник поворотного круга - 1,2 млн</t>
  </si>
  <si>
    <t>Экскаватор Хитачи 2 - гидравлические насосы в сборе - 1 млн</t>
  </si>
  <si>
    <t>улитка насоса в сборе - 200 000</t>
  </si>
  <si>
    <t>Экскаватор Хитачи 3 - Бортовая - 350 000</t>
  </si>
  <si>
    <t>Экскаватор коматсу - насосы - 900 000</t>
  </si>
  <si>
    <t>Бульдозер дизель-электрический - АКБ 6шт по 20 000 = 120 000</t>
  </si>
  <si>
    <t>Освещение завод, дороги, рембокс (столбы, кабельные трассы, прожекторы, работа) - 14 млн</t>
  </si>
  <si>
    <t>Инструменты и станки - 1 млн</t>
  </si>
  <si>
    <t>50 000 тн по 1150р/тн - 57 500 000</t>
  </si>
  <si>
    <t>Щебень c ндс</t>
  </si>
  <si>
    <t>Трактор чистка дорог - 3,5 млн</t>
  </si>
  <si>
    <t>Вскрыша: 40 000 м3 по 300р/м3 - 12 млн</t>
  </si>
  <si>
    <t>ФОТ на месяц</t>
  </si>
  <si>
    <t>Водители самосвалов - 12 чел по 80 000 = 960 000</t>
  </si>
  <si>
    <t>Экскаваторщики - 8 чел по 120 000 = 960 000</t>
  </si>
  <si>
    <t>Водители погрузчиков - 4 чел по 80 000 = 320 000</t>
  </si>
  <si>
    <t>Оператор ДСК - 2 чел по 80 000 = 160 000</t>
  </si>
  <si>
    <t>На лопату ДСК - 8 чел по 80 000 = 640 000</t>
  </si>
  <si>
    <t>Масла, смазки, антифриз, фильтра - 1 400 000</t>
  </si>
  <si>
    <t>Налоги на ФОТ - 1 307 200</t>
  </si>
  <si>
    <t>Трансформатор 150 кВт - 250 000</t>
  </si>
  <si>
    <t>Кабель СИП - 250 000</t>
  </si>
  <si>
    <t xml:space="preserve">Аренда офиса 20 000/месяц, </t>
  </si>
  <si>
    <t>Ремонт офиса - 2 млн</t>
  </si>
  <si>
    <t>Расцепители замена 2 шт - 170 000</t>
  </si>
  <si>
    <t>Оргтехника - 500 000</t>
  </si>
  <si>
    <t>Отопление рембокса печь и вентилятор - 1 млн</t>
  </si>
  <si>
    <t>Модернизация ДСК с заменой грохота и добавление дополнительных колосников (увеличение производительности с 1000 до 1500 тн/в смену 12 часов) - 25 млн</t>
  </si>
  <si>
    <t>40 000 тн по 380р/тн - 15 200 000</t>
  </si>
  <si>
    <t>10 000 тн по 300р/тн - 3 000 000</t>
  </si>
  <si>
    <t>Операционные расходы (запуск производства)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</si>
</sst>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4" fontId="0" fillId="0" borderId="1" xfId="0" applyNumberFormat="1" applyBorder="1"/>
    <xf numFmtId="0" fontId="0" fillId="0" borderId="0" xfId="0" applyBorder="1"/>
    <xf numFmtId="0" fontId="1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2"/>
  <sheetViews>
    <sheetView tabSelected="1" topLeftCell="A7" zoomScale="115" zoomScaleNormal="115" workbookViewId="0">
      <selection activeCell="G23" sqref="G23"/>
    </sheetView>
  </sheetViews>
  <sheetFormatPr defaultRowHeight="15" x14ac:dyDescent="0.25"/>
  <cols>
    <col min="2" max="2" width="18.85546875" customWidth="1"/>
    <col min="3" max="3" width="18.28515625" customWidth="1"/>
    <col min="4" max="4" width="17.42578125" customWidth="1"/>
    <col min="5" max="5" width="18.140625" customWidth="1"/>
    <col min="6" max="6" width="15.5703125" customWidth="1"/>
    <col min="7" max="7" width="14.85546875" customWidth="1"/>
  </cols>
  <sheetData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3" t="s">
        <v>6</v>
      </c>
      <c r="C4" s="2" t="s">
        <v>1</v>
      </c>
      <c r="D4" s="2" t="s">
        <v>2</v>
      </c>
      <c r="E4" s="2" t="s">
        <v>3</v>
      </c>
      <c r="F4" s="2" t="s">
        <v>4</v>
      </c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 t="s">
        <v>11</v>
      </c>
      <c r="C6" s="4">
        <v>22800000</v>
      </c>
      <c r="D6" s="4">
        <v>22800000</v>
      </c>
      <c r="E6" s="4">
        <v>22800000</v>
      </c>
      <c r="F6" s="4">
        <v>15200000</v>
      </c>
      <c r="G6" s="4"/>
      <c r="H6" s="4"/>
    </row>
    <row r="7" spans="1:8" x14ac:dyDescent="0.25">
      <c r="A7" s="2"/>
      <c r="B7" s="2" t="s">
        <v>51</v>
      </c>
      <c r="C7" s="4">
        <v>57500000</v>
      </c>
      <c r="D7" s="4">
        <v>57500000</v>
      </c>
      <c r="E7" s="4">
        <v>57500000</v>
      </c>
      <c r="F7" s="4">
        <v>57500000</v>
      </c>
      <c r="G7" s="4"/>
      <c r="H7" s="4"/>
    </row>
    <row r="8" spans="1:8" x14ac:dyDescent="0.25">
      <c r="A8" s="2"/>
      <c r="B8" s="2" t="s">
        <v>12</v>
      </c>
      <c r="C8" s="4">
        <v>3000000</v>
      </c>
      <c r="D8" s="4">
        <v>3000000</v>
      </c>
      <c r="E8" s="4">
        <v>3000000</v>
      </c>
      <c r="F8" s="4">
        <v>3000000</v>
      </c>
      <c r="G8" s="4"/>
      <c r="H8" s="4"/>
    </row>
    <row r="9" spans="1:8" x14ac:dyDescent="0.25">
      <c r="A9" s="2"/>
      <c r="B9" s="2" t="s">
        <v>13</v>
      </c>
      <c r="C9" s="4">
        <f>SUM(C6:C8)</f>
        <v>83300000</v>
      </c>
      <c r="D9" s="4">
        <f>SUM(D6:D8)</f>
        <v>83300000</v>
      </c>
      <c r="E9" s="4">
        <f>SUM(E6:E8)</f>
        <v>83300000</v>
      </c>
      <c r="F9" s="4">
        <f>SUM(F6:F8)</f>
        <v>75700000</v>
      </c>
      <c r="G9" s="4"/>
      <c r="H9" s="4"/>
    </row>
    <row r="10" spans="1:8" x14ac:dyDescent="0.25">
      <c r="A10" s="2"/>
      <c r="B10" s="2"/>
      <c r="C10" s="4"/>
      <c r="D10" s="4"/>
      <c r="E10" s="4"/>
      <c r="F10" s="4"/>
      <c r="G10" s="4"/>
      <c r="H10" s="4"/>
    </row>
    <row r="11" spans="1:8" x14ac:dyDescent="0.25">
      <c r="A11" s="2"/>
      <c r="B11" s="3" t="s">
        <v>5</v>
      </c>
      <c r="C11" s="4"/>
      <c r="D11" s="4"/>
      <c r="E11" s="4"/>
      <c r="F11" s="4"/>
      <c r="G11" s="4"/>
      <c r="H11" s="4"/>
    </row>
    <row r="12" spans="1:8" x14ac:dyDescent="0.25">
      <c r="A12" s="2"/>
      <c r="B12" s="2" t="s">
        <v>7</v>
      </c>
      <c r="C12" s="4">
        <v>4000000</v>
      </c>
      <c r="D12" s="4"/>
      <c r="E12" s="4"/>
      <c r="F12" s="4"/>
      <c r="G12" s="4"/>
      <c r="H12" s="4"/>
    </row>
    <row r="13" spans="1:8" x14ac:dyDescent="0.25">
      <c r="A13" s="2"/>
      <c r="B13" s="2" t="s">
        <v>8</v>
      </c>
      <c r="C13" s="4">
        <v>6000000</v>
      </c>
      <c r="D13" s="4"/>
      <c r="E13" s="4"/>
      <c r="F13" s="4"/>
      <c r="G13" s="4"/>
      <c r="H13" s="4"/>
    </row>
    <row r="14" spans="1:8" x14ac:dyDescent="0.25">
      <c r="A14" s="2"/>
      <c r="B14" s="2" t="s">
        <v>9</v>
      </c>
      <c r="C14" s="4">
        <v>12000000</v>
      </c>
      <c r="D14" s="4"/>
      <c r="E14" s="4"/>
      <c r="F14" s="4"/>
      <c r="G14" s="4"/>
      <c r="H14" s="4"/>
    </row>
    <row r="15" spans="1:8" x14ac:dyDescent="0.25">
      <c r="A15" s="2"/>
      <c r="B15" s="2" t="s">
        <v>10</v>
      </c>
      <c r="C15" s="4">
        <v>124178000</v>
      </c>
      <c r="D15" s="4"/>
      <c r="E15" s="4"/>
      <c r="F15" s="4"/>
      <c r="G15" s="4"/>
      <c r="H15" s="4"/>
    </row>
    <row r="16" spans="1:8" x14ac:dyDescent="0.25">
      <c r="A16" s="2"/>
      <c r="B16" s="2" t="s">
        <v>13</v>
      </c>
      <c r="C16" s="4">
        <f>SUM(C12:C15)</f>
        <v>146178000</v>
      </c>
      <c r="D16" s="4">
        <v>37000000</v>
      </c>
      <c r="E16" s="4">
        <v>37000000</v>
      </c>
      <c r="F16" s="4">
        <v>37000000</v>
      </c>
      <c r="G16" s="4"/>
      <c r="H16" s="4"/>
    </row>
    <row r="18" spans="2:3" x14ac:dyDescent="0.25">
      <c r="B18" s="1" t="s">
        <v>0</v>
      </c>
    </row>
    <row r="19" spans="2:3" x14ac:dyDescent="0.25">
      <c r="B19" s="5" t="s">
        <v>11</v>
      </c>
      <c r="C19" t="s">
        <v>70</v>
      </c>
    </row>
    <row r="20" spans="2:3" x14ac:dyDescent="0.25">
      <c r="B20" s="5" t="s">
        <v>51</v>
      </c>
      <c r="C20" t="s">
        <v>50</v>
      </c>
    </row>
    <row r="21" spans="2:3" x14ac:dyDescent="0.25">
      <c r="B21" s="5" t="s">
        <v>12</v>
      </c>
      <c r="C21" t="s">
        <v>71</v>
      </c>
    </row>
    <row r="22" spans="2:3" x14ac:dyDescent="0.25">
      <c r="B22" s="5"/>
    </row>
    <row r="23" spans="2:3" x14ac:dyDescent="0.25">
      <c r="B23" s="6" t="s">
        <v>16</v>
      </c>
    </row>
    <row r="24" spans="2:3" x14ac:dyDescent="0.25">
      <c r="B24" t="s">
        <v>15</v>
      </c>
    </row>
    <row r="25" spans="2:3" x14ac:dyDescent="0.25">
      <c r="B25" t="s">
        <v>14</v>
      </c>
    </row>
    <row r="26" spans="2:3" x14ac:dyDescent="0.25">
      <c r="B26" t="s">
        <v>53</v>
      </c>
    </row>
    <row r="28" spans="2:3" x14ac:dyDescent="0.25">
      <c r="B28" s="1" t="s">
        <v>72</v>
      </c>
    </row>
    <row r="29" spans="2:3" x14ac:dyDescent="0.25">
      <c r="B29" t="s">
        <v>17</v>
      </c>
    </row>
    <row r="30" spans="2:3" x14ac:dyDescent="0.25">
      <c r="B30" t="s">
        <v>30</v>
      </c>
    </row>
    <row r="31" spans="2:3" x14ac:dyDescent="0.25">
      <c r="B31" t="s">
        <v>18</v>
      </c>
    </row>
    <row r="32" spans="2:3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31</v>
      </c>
    </row>
    <row r="38" spans="2:2" x14ac:dyDescent="0.25">
      <c r="B38" t="s">
        <v>49</v>
      </c>
    </row>
    <row r="39" spans="2:2" x14ac:dyDescent="0.25">
      <c r="B39" t="s">
        <v>24</v>
      </c>
    </row>
    <row r="40" spans="2:2" x14ac:dyDescent="0.25">
      <c r="B40" t="s">
        <v>25</v>
      </c>
    </row>
    <row r="41" spans="2:2" x14ac:dyDescent="0.25">
      <c r="B41" t="s">
        <v>26</v>
      </c>
    </row>
    <row r="42" spans="2:2" x14ac:dyDescent="0.25">
      <c r="B42" t="s">
        <v>27</v>
      </c>
    </row>
    <row r="43" spans="2:2" x14ac:dyDescent="0.25">
      <c r="B43" t="s">
        <v>28</v>
      </c>
    </row>
    <row r="44" spans="2:2" x14ac:dyDescent="0.25">
      <c r="B44" t="s">
        <v>48</v>
      </c>
    </row>
    <row r="45" spans="2:2" x14ac:dyDescent="0.25">
      <c r="B45" t="s">
        <v>52</v>
      </c>
    </row>
    <row r="46" spans="2:2" x14ac:dyDescent="0.25">
      <c r="B46" t="s">
        <v>29</v>
      </c>
    </row>
    <row r="47" spans="2:2" x14ac:dyDescent="0.25">
      <c r="B47" t="s">
        <v>62</v>
      </c>
    </row>
    <row r="48" spans="2:2" x14ac:dyDescent="0.25">
      <c r="B48" t="s">
        <v>66</v>
      </c>
    </row>
    <row r="49" spans="2:3" x14ac:dyDescent="0.25">
      <c r="B49" t="s">
        <v>63</v>
      </c>
    </row>
    <row r="50" spans="2:3" x14ac:dyDescent="0.25">
      <c r="B50" t="s">
        <v>64</v>
      </c>
    </row>
    <row r="51" spans="2:3" x14ac:dyDescent="0.25">
      <c r="B51" t="s">
        <v>65</v>
      </c>
    </row>
    <row r="52" spans="2:3" x14ac:dyDescent="0.25">
      <c r="B52" t="s">
        <v>67</v>
      </c>
    </row>
    <row r="53" spans="2:3" x14ac:dyDescent="0.25">
      <c r="B53" t="s">
        <v>68</v>
      </c>
    </row>
    <row r="54" spans="2:3" x14ac:dyDescent="0.25">
      <c r="B54" t="s">
        <v>69</v>
      </c>
    </row>
    <row r="58" spans="2:3" x14ac:dyDescent="0.25">
      <c r="B58" s="1" t="s">
        <v>32</v>
      </c>
    </row>
    <row r="59" spans="2:3" x14ac:dyDescent="0.25">
      <c r="B59" t="s">
        <v>33</v>
      </c>
    </row>
    <row r="60" spans="2:3" x14ac:dyDescent="0.25">
      <c r="B60" t="s">
        <v>34</v>
      </c>
    </row>
    <row r="61" spans="2:3" x14ac:dyDescent="0.25">
      <c r="B61" t="s">
        <v>35</v>
      </c>
    </row>
    <row r="62" spans="2:3" x14ac:dyDescent="0.25">
      <c r="B62" t="s">
        <v>36</v>
      </c>
    </row>
    <row r="63" spans="2:3" x14ac:dyDescent="0.25">
      <c r="C63" t="s">
        <v>37</v>
      </c>
    </row>
    <row r="64" spans="2:3" x14ac:dyDescent="0.25">
      <c r="C64" t="s">
        <v>38</v>
      </c>
    </row>
    <row r="65" spans="2:3" x14ac:dyDescent="0.25">
      <c r="C65" t="s">
        <v>39</v>
      </c>
    </row>
    <row r="66" spans="2:3" x14ac:dyDescent="0.25">
      <c r="C66" t="s">
        <v>40</v>
      </c>
    </row>
    <row r="67" spans="2:3" x14ac:dyDescent="0.25">
      <c r="C67" t="s">
        <v>41</v>
      </c>
    </row>
    <row r="68" spans="2:3" x14ac:dyDescent="0.25">
      <c r="C68" t="s">
        <v>42</v>
      </c>
    </row>
    <row r="69" spans="2:3" x14ac:dyDescent="0.25">
      <c r="B69" t="s">
        <v>43</v>
      </c>
    </row>
    <row r="70" spans="2:3" x14ac:dyDescent="0.25">
      <c r="C70" t="s">
        <v>44</v>
      </c>
    </row>
    <row r="71" spans="2:3" x14ac:dyDescent="0.25">
      <c r="B71" t="s">
        <v>45</v>
      </c>
    </row>
    <row r="72" spans="2:3" x14ac:dyDescent="0.25">
      <c r="B72" t="s">
        <v>46</v>
      </c>
    </row>
    <row r="73" spans="2:3" x14ac:dyDescent="0.25">
      <c r="B73" t="s">
        <v>47</v>
      </c>
    </row>
    <row r="74" spans="2:3" x14ac:dyDescent="0.25">
      <c r="B74" t="s">
        <v>60</v>
      </c>
    </row>
    <row r="76" spans="2:3" x14ac:dyDescent="0.25">
      <c r="B76" s="1" t="s">
        <v>54</v>
      </c>
    </row>
    <row r="77" spans="2:3" x14ac:dyDescent="0.25">
      <c r="B77" t="s">
        <v>55</v>
      </c>
    </row>
    <row r="78" spans="2:3" x14ac:dyDescent="0.25">
      <c r="B78" t="s">
        <v>56</v>
      </c>
    </row>
    <row r="79" spans="2:3" x14ac:dyDescent="0.25">
      <c r="B79" t="s">
        <v>57</v>
      </c>
    </row>
    <row r="80" spans="2:3" x14ac:dyDescent="0.25">
      <c r="B80" t="s">
        <v>58</v>
      </c>
    </row>
    <row r="81" spans="2:2" x14ac:dyDescent="0.25">
      <c r="B81" t="s">
        <v>59</v>
      </c>
    </row>
    <row r="82" spans="2:2" x14ac:dyDescent="0.25">
      <c r="B82" t="s">
        <v>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2026-09-05T15:05:56Z</dcterms:created>
  <dcterms:modified xsi:type="dcterms:W3CDTF">2026-09-06T13:31:50Z</dcterms:modified>
</cp:coreProperties>
</file>